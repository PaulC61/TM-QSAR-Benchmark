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ulc/Git/BenchMark/"/>
    </mc:Choice>
  </mc:AlternateContent>
  <xr:revisionPtr revIDLastSave="0" documentId="13_ncr:1_{5E8770DC-2242-5F43-BBD5-EE860C779876}" xr6:coauthVersionLast="47" xr6:coauthVersionMax="47" xr10:uidLastSave="{00000000-0000-0000-0000-000000000000}"/>
  <bookViews>
    <workbookView xWindow="38800" yWindow="2260" windowWidth="25800" windowHeight="17680" firstSheet="1" activeTab="7" xr2:uid="{93478526-07D0-A34F-8CF0-85D2ACD5DDEC}"/>
  </bookViews>
  <sheets>
    <sheet name="Comp-Full-a" sheetId="1" r:id="rId1"/>
    <sheet name="Sheet6" sheetId="6" r:id="rId2"/>
    <sheet name="Comp-Full-b" sheetId="2" r:id="rId3"/>
    <sheet name="Sheet1" sheetId="7" r:id="rId4"/>
    <sheet name="SummaryTable" sheetId="5" r:id="rId5"/>
    <sheet name="NN-Cntxt" sheetId="4" r:id="rId6"/>
    <sheet name="Comp-Trimmed" sheetId="3" r:id="rId7"/>
    <sheet name="Comp-Trimmed-Annotated" sheetId="8" r:id="rId8"/>
  </sheets>
  <definedNames>
    <definedName name="_xlnm._FilterDatabase" localSheetId="6" hidden="1">'Comp-Trimmed'!$A$1:$N$32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7" l="1"/>
  <c r="W11" i="7" s="1"/>
  <c r="T11" i="7"/>
  <c r="U11" i="7" s="1"/>
  <c r="R11" i="7"/>
  <c r="S11" i="7" s="1"/>
  <c r="U15" i="7"/>
  <c r="V15" i="7"/>
  <c r="W15" i="7" s="1"/>
  <c r="T15" i="7"/>
  <c r="R15" i="7"/>
  <c r="S15" i="7" s="1"/>
  <c r="Q23" i="7"/>
  <c r="O23" i="7"/>
  <c r="M23" i="7"/>
  <c r="Q19" i="7"/>
  <c r="O19" i="7"/>
  <c r="M19" i="7"/>
  <c r="Q15" i="7"/>
  <c r="O15" i="7"/>
  <c r="M15" i="7"/>
  <c r="Q11" i="7"/>
  <c r="O11" i="7"/>
  <c r="M11" i="7"/>
  <c r="O7" i="7"/>
  <c r="Q7" i="7"/>
  <c r="M7" i="7"/>
</calcChain>
</file>

<file path=xl/sharedStrings.xml><?xml version="1.0" encoding="utf-8"?>
<sst xmlns="http://schemas.openxmlformats.org/spreadsheetml/2006/main" count="978" uniqueCount="99">
  <si>
    <t>TargetDataset</t>
  </si>
  <si>
    <t>MOR</t>
  </si>
  <si>
    <t>DOR</t>
  </si>
  <si>
    <t>KOR</t>
  </si>
  <si>
    <t>CYP2D6</t>
  </si>
  <si>
    <t>CYP3A4</t>
  </si>
  <si>
    <t>ROC_AUC</t>
  </si>
  <si>
    <t>PRC_AUC</t>
  </si>
  <si>
    <t>PPV</t>
  </si>
  <si>
    <t>NPV</t>
  </si>
  <si>
    <t>TM Superiority</t>
  </si>
  <si>
    <t>TM Score</t>
  </si>
  <si>
    <t>TM N_CLAUSES = 800, RF and XGBoost N_TREES = 100</t>
  </si>
  <si>
    <t>Descriptor</t>
  </si>
  <si>
    <t>Group</t>
  </si>
  <si>
    <t>ECFP</t>
  </si>
  <si>
    <t>Random</t>
  </si>
  <si>
    <t>Scaffold</t>
  </si>
  <si>
    <t>RDKit2D</t>
  </si>
  <si>
    <t>None</t>
  </si>
  <si>
    <t>Notes</t>
  </si>
  <si>
    <t>With 800 clauses - TM outperforms both tree-based model to at least a 90% confidence interval or performs the same as XGBoost</t>
  </si>
  <si>
    <t>CI - NearestTree</t>
  </si>
  <si>
    <t>Across most descriptor-group pairs, XGBoost performs the "best" on this dataset with the TM performing the "same" or being beaten to a 90% confidence interval</t>
  </si>
  <si>
    <t>The TM performs the same or better than the nearest tree-based algorithm when using ECFPs as descriptors to this target problem. However, when continuous descriptors are used - either RF or XGBoost marginally outperform TMs</t>
  </si>
  <si>
    <t>ROC_AUC Colour Count</t>
  </si>
  <si>
    <t>PRC_AUC Colour Count</t>
  </si>
  <si>
    <t>PPV Colour Count</t>
  </si>
  <si>
    <t>NPV Colour Count</t>
  </si>
  <si>
    <t>"Better"</t>
  </si>
  <si>
    <t>"The Same"</t>
  </si>
  <si>
    <t>"Worse"</t>
  </si>
  <si>
    <t>Target Colour Count</t>
  </si>
  <si>
    <t>CYP2D6 proved to be a challenging dataset for all descriptor-model pairs to achieve high classification scores. RF models achieved comparatively high scores, compared to TM and XGBoost, for PRC_AUC</t>
  </si>
  <si>
    <t>=</t>
  </si>
  <si>
    <r>
      <t xml:space="preserve">TM does not have higher scores with an honestly significantly different (HSD), to either RF </t>
    </r>
    <r>
      <rPr>
        <i/>
        <sz val="12"/>
        <color theme="1"/>
        <rFont val="Aptos Narrow"/>
        <scheme val="minor"/>
      </rPr>
      <t xml:space="preserve">or </t>
    </r>
    <r>
      <rPr>
        <sz val="12"/>
        <color theme="1"/>
        <rFont val="Aptos Narrow"/>
        <scheme val="minor"/>
      </rPr>
      <t>XGBoost</t>
    </r>
  </si>
  <si>
    <r>
      <t xml:space="preserve">TM has higher scores with an honestly significantly different (HSD) distribution, to </t>
    </r>
    <r>
      <rPr>
        <i/>
        <sz val="12"/>
        <color theme="1"/>
        <rFont val="Aptos Narrow"/>
        <scheme val="minor"/>
      </rPr>
      <t>at least</t>
    </r>
    <r>
      <rPr>
        <sz val="12"/>
        <color theme="1"/>
        <rFont val="Aptos Narrow"/>
        <family val="2"/>
        <scheme val="minor"/>
      </rPr>
      <t xml:space="preserve"> a 90% CI,  than </t>
    </r>
    <r>
      <rPr>
        <i/>
        <sz val="12"/>
        <color theme="1"/>
        <rFont val="Aptos Narrow"/>
        <scheme val="minor"/>
      </rPr>
      <t>both</t>
    </r>
    <r>
      <rPr>
        <sz val="12"/>
        <color theme="1"/>
        <rFont val="Aptos Narrow"/>
        <scheme val="minor"/>
      </rPr>
      <t xml:space="preserve"> RF and XGBoost</t>
    </r>
    <r>
      <rPr>
        <sz val="12"/>
        <color theme="1"/>
        <rFont val="Aptos Narrow"/>
        <family val="2"/>
        <scheme val="minor"/>
      </rPr>
      <t xml:space="preserve"> (TM Superiority)</t>
    </r>
  </si>
  <si>
    <r>
      <t xml:space="preserve">Either RF </t>
    </r>
    <r>
      <rPr>
        <i/>
        <sz val="12"/>
        <color theme="1"/>
        <rFont val="Aptos Narrow"/>
        <scheme val="minor"/>
      </rPr>
      <t>or</t>
    </r>
    <r>
      <rPr>
        <sz val="12"/>
        <color theme="1"/>
        <rFont val="Aptos Narrow"/>
        <family val="2"/>
        <scheme val="minor"/>
      </rPr>
      <t xml:space="preserve"> XGBoost have higher scores with an honestly significantly different (HSD) to TM</t>
    </r>
  </si>
  <si>
    <t>MolBERT</t>
  </si>
  <si>
    <t>GROVER</t>
  </si>
  <si>
    <t>GROVER_RDKit</t>
  </si>
  <si>
    <t xml:space="preserve">MOR </t>
  </si>
  <si>
    <t>N</t>
  </si>
  <si>
    <t>% Actives</t>
  </si>
  <si>
    <t xml:space="preserve">DOR </t>
  </si>
  <si>
    <t xml:space="preserve">KOR </t>
  </si>
  <si>
    <t xml:space="preserve">CYP2D6 </t>
  </si>
  <si>
    <t xml:space="preserve">CYP3A4 </t>
  </si>
  <si>
    <t>Neural Network Context (PRC_AUC)</t>
  </si>
  <si>
    <t>TM</t>
  </si>
  <si>
    <t>Target</t>
  </si>
  <si>
    <t>XGBoost</t>
  </si>
  <si>
    <t>Random Forest</t>
  </si>
  <si>
    <t>Tukey's HSD: p-value &lt;</t>
  </si>
  <si>
    <r>
      <t xml:space="preserve">◆         </t>
    </r>
    <r>
      <rPr>
        <b/>
        <sz val="12"/>
        <color theme="1"/>
        <rFont val="Aptos Narrow"/>
        <scheme val="minor"/>
      </rPr>
      <t xml:space="preserve"> =</t>
    </r>
  </si>
  <si>
    <r>
      <t xml:space="preserve">◇          </t>
    </r>
    <r>
      <rPr>
        <b/>
        <sz val="12"/>
        <color theme="1"/>
        <rFont val="Aptos Narrow"/>
        <scheme val="minor"/>
      </rPr>
      <t>=</t>
    </r>
  </si>
  <si>
    <t>◆◇        0.87</t>
  </si>
  <si>
    <t>**           0.01</t>
  </si>
  <si>
    <t>*           0.05</t>
  </si>
  <si>
    <t>◆            0.85</t>
  </si>
  <si>
    <t>◇            0.39</t>
  </si>
  <si>
    <t>◇            0.07</t>
  </si>
  <si>
    <t>◇            0.04</t>
  </si>
  <si>
    <t>◆            0.87</t>
  </si>
  <si>
    <t>◆            0.9</t>
  </si>
  <si>
    <t>◆            0.66</t>
  </si>
  <si>
    <t>◆            0.75</t>
  </si>
  <si>
    <t>◆            0.63</t>
  </si>
  <si>
    <t>◆            0.65</t>
  </si>
  <si>
    <t>◆            0.64</t>
  </si>
  <si>
    <t>◆            0.59</t>
  </si>
  <si>
    <t>◆            0.49</t>
  </si>
  <si>
    <t>◆            0.94</t>
  </si>
  <si>
    <t>◆            0.91</t>
  </si>
  <si>
    <t>◆            0.95</t>
  </si>
  <si>
    <t>◆            0.93</t>
  </si>
  <si>
    <t>◆            0.92</t>
  </si>
  <si>
    <t>◆◇        0.91</t>
  </si>
  <si>
    <t>◆            0.77</t>
  </si>
  <si>
    <t>◆            0.82</t>
  </si>
  <si>
    <t>◆            0.68</t>
  </si>
  <si>
    <t>◆            0.62</t>
  </si>
  <si>
    <t>◆            0.99</t>
  </si>
  <si>
    <t>◇            0.98</t>
  </si>
  <si>
    <t>◇            0.99</t>
  </si>
  <si>
    <t>◆            0.78</t>
  </si>
  <si>
    <t>◇            0.11</t>
  </si>
  <si>
    <t>◇            0.15</t>
  </si>
  <si>
    <t>◇            0.1</t>
  </si>
  <si>
    <t>◆            0.61</t>
  </si>
  <si>
    <t>"Equivalent"</t>
  </si>
  <si>
    <t>Splitting Strategy</t>
  </si>
  <si>
    <t>Target Performance Count</t>
  </si>
  <si>
    <t>PPV Performance Count</t>
  </si>
  <si>
    <t>NPV Performance Count</t>
  </si>
  <si>
    <t>ROC-AUC</t>
  </si>
  <si>
    <t>ROC-AUC Performance Count</t>
  </si>
  <si>
    <t>PRC-AUC</t>
  </si>
  <si>
    <t>PRC-AUC Performance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</si>
</sst>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C9CA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5" xfId="0" applyBorder="1" applyAlignment="1">
      <alignment horizontal="right"/>
    </xf>
    <xf numFmtId="0" fontId="0" fillId="0" borderId="9" xfId="0" applyBorder="1" applyAlignment="1">
      <alignment horizontal="right"/>
    </xf>
    <xf numFmtId="9" fontId="0" fillId="0" borderId="9" xfId="0" applyNumberFormat="1" applyBorder="1" applyAlignment="1">
      <alignment horizontal="right"/>
    </xf>
    <xf numFmtId="9" fontId="0" fillId="0" borderId="5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0" fontId="0" fillId="2" borderId="3" xfId="0" applyFill="1" applyBorder="1"/>
    <xf numFmtId="0" fontId="0" fillId="2" borderId="0" xfId="0" applyFill="1"/>
    <xf numFmtId="0" fontId="0" fillId="2" borderId="8" xfId="0" applyFill="1" applyBorder="1"/>
    <xf numFmtId="0" fontId="0" fillId="3" borderId="8" xfId="0" applyFill="1" applyBorder="1"/>
    <xf numFmtId="0" fontId="0" fillId="3" borderId="0" xfId="0" applyFill="1"/>
    <xf numFmtId="0" fontId="0" fillId="3" borderId="3" xfId="0" applyFill="1" applyBorder="1"/>
    <xf numFmtId="0" fontId="0" fillId="4" borderId="0" xfId="0" applyFill="1"/>
    <xf numFmtId="0" fontId="0" fillId="4" borderId="8" xfId="0" applyFill="1" applyBorder="1"/>
    <xf numFmtId="0" fontId="0" fillId="4" borderId="3" xfId="0" applyFill="1" applyBorder="1"/>
    <xf numFmtId="9" fontId="0" fillId="0" borderId="0" xfId="0" applyNumberFormat="1" applyAlignment="1">
      <alignment horizontal="righ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8" xfId="0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9" fontId="0" fillId="0" borderId="3" xfId="0" applyNumberFormat="1" applyBorder="1" applyAlignment="1">
      <alignment horizontal="right"/>
    </xf>
    <xf numFmtId="9" fontId="0" fillId="0" borderId="8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2" borderId="25" xfId="0" applyFill="1" applyBorder="1" applyAlignment="1">
      <alignment vertical="center"/>
    </xf>
    <xf numFmtId="0" fontId="0" fillId="0" borderId="30" xfId="0" applyBorder="1"/>
    <xf numFmtId="0" fontId="0" fillId="0" borderId="31" xfId="0" applyBorder="1"/>
    <xf numFmtId="2" fontId="0" fillId="0" borderId="5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2" borderId="4" xfId="0" applyFill="1" applyBorder="1"/>
    <xf numFmtId="0" fontId="0" fillId="2" borderId="13" xfId="0" applyFill="1" applyBorder="1"/>
    <xf numFmtId="0" fontId="0" fillId="3" borderId="10" xfId="0" applyFill="1" applyBorder="1"/>
    <xf numFmtId="0" fontId="0" fillId="4" borderId="13" xfId="0" applyFill="1" applyBorder="1"/>
    <xf numFmtId="0" fontId="0" fillId="4" borderId="10" xfId="0" applyFill="1" applyBorder="1"/>
    <xf numFmtId="0" fontId="0" fillId="3" borderId="13" xfId="0" applyFill="1" applyBorder="1"/>
    <xf numFmtId="0" fontId="0" fillId="2" borderId="10" xfId="0" applyFill="1" applyBorder="1"/>
    <xf numFmtId="0" fontId="0" fillId="4" borderId="4" xfId="0" applyFill="1" applyBorder="1"/>
    <xf numFmtId="0" fontId="0" fillId="3" borderId="4" xfId="0" applyFill="1" applyBorder="1"/>
    <xf numFmtId="0" fontId="0" fillId="0" borderId="16" xfId="0" applyBorder="1"/>
    <xf numFmtId="0" fontId="1" fillId="0" borderId="19" xfId="0" applyFont="1" applyBorder="1"/>
    <xf numFmtId="0" fontId="0" fillId="0" borderId="27" xfId="0" applyBorder="1"/>
    <xf numFmtId="0" fontId="1" fillId="0" borderId="31" xfId="0" applyFont="1" applyBorder="1"/>
    <xf numFmtId="2" fontId="0" fillId="0" borderId="10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5" fillId="0" borderId="10" xfId="0" applyNumberFormat="1" applyFont="1" applyBorder="1" applyAlignment="1">
      <alignment horizontal="right"/>
    </xf>
    <xf numFmtId="0" fontId="0" fillId="2" borderId="6" xfId="0" applyFill="1" applyBorder="1"/>
    <xf numFmtId="0" fontId="0" fillId="4" borderId="2" xfId="0" applyFill="1" applyBorder="1"/>
    <xf numFmtId="2" fontId="5" fillId="0" borderId="13" xfId="0" applyNumberFormat="1" applyFont="1" applyBorder="1" applyAlignment="1">
      <alignment horizontal="right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9C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12700</xdr:rowOff>
    </xdr:from>
    <xdr:to>
      <xdr:col>14</xdr:col>
      <xdr:colOff>25400</xdr:colOff>
      <xdr:row>7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84C8B7-02A9-2561-C009-E7CDF13A1055}"/>
            </a:ext>
          </a:extLst>
        </xdr:cNvPr>
        <xdr:cNvSpPr/>
      </xdr:nvSpPr>
      <xdr:spPr>
        <a:xfrm>
          <a:off x="11430000" y="825500"/>
          <a:ext cx="2717800" cy="73660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1447800</xdr:colOff>
      <xdr:row>19</xdr:row>
      <xdr:rowOff>190500</xdr:rowOff>
    </xdr:from>
    <xdr:to>
      <xdr:col>14</xdr:col>
      <xdr:colOff>38100</xdr:colOff>
      <xdr:row>24</xdr:row>
      <xdr:rowOff>12700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1AD79C-DA04-9841-BA1B-55C7DF8E59A9}"/>
            </a:ext>
          </a:extLst>
        </xdr:cNvPr>
        <xdr:cNvSpPr/>
      </xdr:nvSpPr>
      <xdr:spPr>
        <a:xfrm>
          <a:off x="11391900" y="4051300"/>
          <a:ext cx="2768600" cy="83820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228601</xdr:colOff>
      <xdr:row>12</xdr:row>
      <xdr:rowOff>127000</xdr:rowOff>
    </xdr:from>
    <xdr:ext cx="4254500" cy="74982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EA24D4-9954-2F15-0B9D-324820191B60}"/>
            </a:ext>
          </a:extLst>
        </xdr:cNvPr>
        <xdr:cNvSpPr txBox="1"/>
      </xdr:nvSpPr>
      <xdr:spPr>
        <a:xfrm>
          <a:off x="15176501" y="2565400"/>
          <a:ext cx="4254500" cy="749821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Clearly outperforms</a:t>
          </a:r>
          <a:r>
            <a:rPr lang="en-US" sz="1400" baseline="0"/>
            <a:t> RF and XGBoost across all descriptor spaces, splitting strategies and metric types</a:t>
          </a:r>
        </a:p>
        <a:p>
          <a:r>
            <a:rPr lang="en-US" sz="1400" baseline="0"/>
            <a:t>CYP3A4 - results are "better" but overall can be improved</a:t>
          </a:r>
          <a:endParaRPr lang="en-US" sz="1400"/>
        </a:p>
      </xdr:txBody>
    </xdr:sp>
    <xdr:clientData/>
  </xdr:oneCellAnchor>
  <xdr:twoCellAnchor>
    <xdr:from>
      <xdr:col>14</xdr:col>
      <xdr:colOff>25400</xdr:colOff>
      <xdr:row>5</xdr:row>
      <xdr:rowOff>177800</xdr:rowOff>
    </xdr:from>
    <xdr:to>
      <xdr:col>15</xdr:col>
      <xdr:colOff>228601</xdr:colOff>
      <xdr:row>14</xdr:row>
      <xdr:rowOff>95511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927A83D-3BD5-4A26-6611-16697B52DB77}"/>
            </a:ext>
          </a:extLst>
        </xdr:cNvPr>
        <xdr:cNvCxnSpPr>
          <a:stCxn id="2" idx="3"/>
          <a:endCxn id="4" idx="1"/>
        </xdr:cNvCxnSpPr>
      </xdr:nvCxnSpPr>
      <xdr:spPr>
        <a:xfrm>
          <a:off x="14147800" y="1193800"/>
          <a:ext cx="1028701" cy="1746511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14</xdr:row>
      <xdr:rowOff>95511</xdr:rowOff>
    </xdr:from>
    <xdr:to>
      <xdr:col>15</xdr:col>
      <xdr:colOff>228601</xdr:colOff>
      <xdr:row>22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9762BC-6FA6-A54B-9FCC-E49627B132AD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14160500" y="2940311"/>
          <a:ext cx="1016001" cy="1530089"/>
        </a:xfrm>
        <a:prstGeom prst="line">
          <a:avLst/>
        </a:prstGeom>
        <a:ln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12700</xdr:rowOff>
    </xdr:from>
    <xdr:to>
      <xdr:col>14</xdr:col>
      <xdr:colOff>25400</xdr:colOff>
      <xdr:row>11</xdr:row>
      <xdr:rowOff>139700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C4B028B-4831-1243-B0EA-72258842BDB6}"/>
            </a:ext>
          </a:extLst>
        </xdr:cNvPr>
        <xdr:cNvSpPr/>
      </xdr:nvSpPr>
      <xdr:spPr>
        <a:xfrm>
          <a:off x="11430000" y="1638300"/>
          <a:ext cx="2717800" cy="736600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25400</xdr:colOff>
      <xdr:row>9</xdr:row>
      <xdr:rowOff>177800</xdr:rowOff>
    </xdr:from>
    <xdr:to>
      <xdr:col>15</xdr:col>
      <xdr:colOff>787401</xdr:colOff>
      <xdr:row>23</xdr:row>
      <xdr:rowOff>136873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720B9E3-8A00-E3C1-A5B3-8B40B8E90F53}"/>
            </a:ext>
          </a:extLst>
        </xdr:cNvPr>
        <xdr:cNvCxnSpPr>
          <a:stCxn id="12" idx="3"/>
          <a:endCxn id="15" idx="1"/>
        </xdr:cNvCxnSpPr>
      </xdr:nvCxnSpPr>
      <xdr:spPr>
        <a:xfrm>
          <a:off x="14147800" y="2006600"/>
          <a:ext cx="1587501" cy="2803873"/>
        </a:xfrm>
        <a:prstGeom prst="line">
          <a:avLst/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787401</xdr:colOff>
      <xdr:row>20</xdr:row>
      <xdr:rowOff>152400</xdr:rowOff>
    </xdr:from>
    <xdr:ext cx="4254500" cy="118814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2F52026-3A95-DA40-AA70-620FAE3F6727}"/>
            </a:ext>
          </a:extLst>
        </xdr:cNvPr>
        <xdr:cNvSpPr txBox="1"/>
      </xdr:nvSpPr>
      <xdr:spPr>
        <a:xfrm>
          <a:off x="15735301" y="4216400"/>
          <a:ext cx="4254500" cy="1188146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Most frequently</a:t>
          </a:r>
          <a:r>
            <a:rPr lang="en-US" sz="1400" baseline="0"/>
            <a:t> e</a:t>
          </a:r>
          <a:r>
            <a:rPr lang="en-US" sz="1400" b="1" baseline="0"/>
            <a:t>quivalent </a:t>
          </a:r>
          <a:r>
            <a:rPr lang="en-US" sz="1400" baseline="0"/>
            <a:t>to RF and XGBoost (50%). </a:t>
          </a:r>
        </a:p>
        <a:p>
          <a:r>
            <a:rPr lang="en-US" sz="1400" baseline="0"/>
            <a:t>DOR - Best model in terms of overall scores was achieved with TM, ECFP descriptors, random splitting.</a:t>
          </a:r>
        </a:p>
        <a:p>
          <a:r>
            <a:rPr lang="en-US" sz="1400" baseline="0"/>
            <a:t>CYP2D6 (1.4% Actives) - RF achieves highest PRC-AUC scores at the expense of all other metrics</a:t>
          </a:r>
        </a:p>
      </xdr:txBody>
    </xdr:sp>
    <xdr:clientData/>
  </xdr:oneCellAnchor>
  <xdr:twoCellAnchor>
    <xdr:from>
      <xdr:col>10</xdr:col>
      <xdr:colOff>1460500</xdr:colOff>
      <xdr:row>16</xdr:row>
      <xdr:rowOff>12700</xdr:rowOff>
    </xdr:from>
    <xdr:to>
      <xdr:col>14</xdr:col>
      <xdr:colOff>0</xdr:colOff>
      <xdr:row>19</xdr:row>
      <xdr:rowOff>139700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A70B855-DC8E-E140-9944-641873A52D91}"/>
            </a:ext>
          </a:extLst>
        </xdr:cNvPr>
        <xdr:cNvSpPr/>
      </xdr:nvSpPr>
      <xdr:spPr>
        <a:xfrm>
          <a:off x="11404600" y="3263900"/>
          <a:ext cx="2717800" cy="736600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17</xdr:row>
      <xdr:rowOff>177800</xdr:rowOff>
    </xdr:from>
    <xdr:to>
      <xdr:col>15</xdr:col>
      <xdr:colOff>787401</xdr:colOff>
      <xdr:row>23</xdr:row>
      <xdr:rowOff>136873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61CDD3E-0C1F-164C-8EFA-2169CF07F97B}"/>
            </a:ext>
          </a:extLst>
        </xdr:cNvPr>
        <xdr:cNvCxnSpPr>
          <a:stCxn id="17" idx="3"/>
          <a:endCxn id="15" idx="1"/>
        </xdr:cNvCxnSpPr>
      </xdr:nvCxnSpPr>
      <xdr:spPr>
        <a:xfrm>
          <a:off x="14122400" y="3632200"/>
          <a:ext cx="1612901" cy="1178273"/>
        </a:xfrm>
        <a:prstGeom prst="line">
          <a:avLst/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1473200</xdr:colOff>
      <xdr:row>12</xdr:row>
      <xdr:rowOff>12700</xdr:rowOff>
    </xdr:from>
    <xdr:to>
      <xdr:col>14</xdr:col>
      <xdr:colOff>12700</xdr:colOff>
      <xdr:row>15</xdr:row>
      <xdr:rowOff>139700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454D23D-1786-284F-9D81-03E7E020358F}"/>
            </a:ext>
          </a:extLst>
        </xdr:cNvPr>
        <xdr:cNvSpPr/>
      </xdr:nvSpPr>
      <xdr:spPr>
        <a:xfrm>
          <a:off x="11417300" y="2451100"/>
          <a:ext cx="2717800" cy="736600"/>
        </a:xfrm>
        <a:prstGeom prst="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685801</xdr:colOff>
      <xdr:row>29</xdr:row>
      <xdr:rowOff>127000</xdr:rowOff>
    </xdr:from>
    <xdr:ext cx="4254500" cy="162647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8E9303F-FF51-6F4B-96BA-2DFB46FC6AD1}"/>
            </a:ext>
          </a:extLst>
        </xdr:cNvPr>
        <xdr:cNvSpPr txBox="1"/>
      </xdr:nvSpPr>
      <xdr:spPr>
        <a:xfrm>
          <a:off x="16459201" y="6045200"/>
          <a:ext cx="4254500" cy="16264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Most frequently</a:t>
          </a:r>
          <a:r>
            <a:rPr lang="en-US" sz="1400" b="1" baseline="0"/>
            <a:t> worse </a:t>
          </a:r>
          <a:r>
            <a:rPr lang="en-US" sz="1400" baseline="0"/>
            <a:t>to RF and XGBoost (50%).  This is in response to using RDKit descriptor sets.</a:t>
          </a:r>
        </a:p>
        <a:p>
          <a:r>
            <a:rPr lang="en-US" sz="1400" baseline="0"/>
            <a:t>Best model was achieved with TM, ECFP descriptors, random splitting. Scaffold split performed quite well also</a:t>
          </a:r>
        </a:p>
        <a:p>
          <a:endParaRPr lang="en-US" sz="1400" baseline="0"/>
        </a:p>
        <a:p>
          <a:r>
            <a:rPr lang="en-US" sz="1400" baseline="0"/>
            <a:t>The frequent disimprovement of TM for KOR was in Response to Using RDKit2D descriptors</a:t>
          </a:r>
        </a:p>
      </xdr:txBody>
    </xdr:sp>
    <xdr:clientData/>
  </xdr:oneCellAnchor>
  <xdr:twoCellAnchor>
    <xdr:from>
      <xdr:col>14</xdr:col>
      <xdr:colOff>12700</xdr:colOff>
      <xdr:row>13</xdr:row>
      <xdr:rowOff>177800</xdr:rowOff>
    </xdr:from>
    <xdr:to>
      <xdr:col>16</xdr:col>
      <xdr:colOff>685801</xdr:colOff>
      <xdr:row>33</xdr:row>
      <xdr:rowOff>127436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E69F8B9-2BB6-B348-AE49-FC742ABA6FE5}"/>
            </a:ext>
          </a:extLst>
        </xdr:cNvPr>
        <xdr:cNvCxnSpPr>
          <a:stCxn id="21" idx="3"/>
          <a:endCxn id="22" idx="1"/>
        </xdr:cNvCxnSpPr>
      </xdr:nvCxnSpPr>
      <xdr:spPr>
        <a:xfrm>
          <a:off x="14135100" y="2819400"/>
          <a:ext cx="2324101" cy="4039036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25400</xdr:rowOff>
    </xdr:from>
    <xdr:to>
      <xdr:col>11</xdr:col>
      <xdr:colOff>25400</xdr:colOff>
      <xdr:row>32</xdr:row>
      <xdr:rowOff>38100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DD75B71-27F5-2946-8140-C54D367CEAF7}"/>
            </a:ext>
          </a:extLst>
        </xdr:cNvPr>
        <xdr:cNvSpPr/>
      </xdr:nvSpPr>
      <xdr:spPr>
        <a:xfrm>
          <a:off x="2184400" y="4902200"/>
          <a:ext cx="9271000" cy="1663700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406400</xdr:colOff>
      <xdr:row>39</xdr:row>
      <xdr:rowOff>88900</xdr:rowOff>
    </xdr:from>
    <xdr:ext cx="4648199" cy="184563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33E3EA2-EB27-7D40-BA5A-33A96D8E3A65}"/>
            </a:ext>
          </a:extLst>
        </xdr:cNvPr>
        <xdr:cNvSpPr txBox="1"/>
      </xdr:nvSpPr>
      <xdr:spPr>
        <a:xfrm>
          <a:off x="5727700" y="8039100"/>
          <a:ext cx="4648199" cy="1845633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/>
            <a:t>Accounting for the fact that RF achieved high PRC-AUC at the expense of all other methods:</a:t>
          </a:r>
        </a:p>
        <a:p>
          <a:r>
            <a:rPr lang="en-US" sz="1400" baseline="0"/>
            <a:t>Across all targets TMs Specialise in frequently (&gt;= 50% of the time)  obtaining better ROC-AUC, PRC-AUC and PPV scores - particularly relevant to ranking active molecules and VS.</a:t>
          </a:r>
        </a:p>
        <a:p>
          <a:r>
            <a:rPr lang="en-US" sz="1400" baseline="0"/>
            <a:t>This at expense of NPV, where TMs are likely to perform Equivalent or Worse. This is not of major concern though as NPV scores remain high (&gt;=0.90)</a:t>
          </a:r>
        </a:p>
      </xdr:txBody>
    </xdr:sp>
    <xdr:clientData/>
  </xdr:oneCellAnchor>
  <xdr:twoCellAnchor>
    <xdr:from>
      <xdr:col>7</xdr:col>
      <xdr:colOff>12700</xdr:colOff>
      <xdr:row>32</xdr:row>
      <xdr:rowOff>38100</xdr:rowOff>
    </xdr:from>
    <xdr:to>
      <xdr:col>8</xdr:col>
      <xdr:colOff>419100</xdr:colOff>
      <xdr:row>39</xdr:row>
      <xdr:rowOff>88900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0A9C388-30FA-E54D-073B-7E3F15600CD8}"/>
            </a:ext>
          </a:extLst>
        </xdr:cNvPr>
        <xdr:cNvCxnSpPr>
          <a:stCxn id="26" idx="2"/>
          <a:endCxn id="27" idx="0"/>
        </xdr:cNvCxnSpPr>
      </xdr:nvCxnSpPr>
      <xdr:spPr>
        <a:xfrm>
          <a:off x="6819900" y="6565900"/>
          <a:ext cx="1231900" cy="1473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190500</xdr:rowOff>
    </xdr:from>
    <xdr:to>
      <xdr:col>2</xdr:col>
      <xdr:colOff>0</xdr:colOff>
      <xdr:row>16</xdr:row>
      <xdr:rowOff>12700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EB3F1BF-0D2B-844C-B5BF-6DB47726F23C}"/>
            </a:ext>
          </a:extLst>
        </xdr:cNvPr>
        <xdr:cNvSpPr/>
      </xdr:nvSpPr>
      <xdr:spPr>
        <a:xfrm>
          <a:off x="825500" y="2425700"/>
          <a:ext cx="762000" cy="838200"/>
        </a:xfrm>
        <a:prstGeom prst="rect">
          <a:avLst/>
        </a:prstGeom>
        <a:noFill/>
        <a:ln w="5715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</xdr:row>
      <xdr:rowOff>190500</xdr:rowOff>
    </xdr:from>
    <xdr:to>
      <xdr:col>2</xdr:col>
      <xdr:colOff>0</xdr:colOff>
      <xdr:row>8</xdr:row>
      <xdr:rowOff>12700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32D78EE-72B9-864F-B927-DD7C5F61D1CD}"/>
            </a:ext>
          </a:extLst>
        </xdr:cNvPr>
        <xdr:cNvSpPr/>
      </xdr:nvSpPr>
      <xdr:spPr>
        <a:xfrm>
          <a:off x="825500" y="800100"/>
          <a:ext cx="762000" cy="838200"/>
        </a:xfrm>
        <a:prstGeom prst="rect">
          <a:avLst/>
        </a:prstGeom>
        <a:noFill/>
        <a:ln w="5715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63500</xdr:colOff>
      <xdr:row>26</xdr:row>
      <xdr:rowOff>50800</xdr:rowOff>
    </xdr:from>
    <xdr:ext cx="1841499" cy="62357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7B56FB4-1CAE-E248-B3B4-FCC92CFBFA38}"/>
            </a:ext>
          </a:extLst>
        </xdr:cNvPr>
        <xdr:cNvSpPr txBox="1"/>
      </xdr:nvSpPr>
      <xdr:spPr>
        <a:xfrm>
          <a:off x="63500" y="5346700"/>
          <a:ext cx="1841499" cy="6235700"/>
        </a:xfrm>
        <a:prstGeom prst="rect">
          <a:avLst/>
        </a:prstGeom>
        <a:noFill/>
        <a:ln w="28575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aseline="0"/>
            <a:t>Small reductions in TM-QSAR performances occur when using RDKit2D descriptors compared to ECFP</a:t>
          </a:r>
        </a:p>
        <a:p>
          <a:endParaRPr lang="en-US" sz="1400" baseline="0"/>
        </a:p>
        <a:p>
          <a:r>
            <a:rPr lang="en-US" sz="1400" baseline="0"/>
            <a:t>ECFP Color Count:</a:t>
          </a:r>
          <a:br>
            <a:rPr lang="en-US" sz="1400" baseline="0"/>
          </a:br>
          <a:r>
            <a:rPr lang="en-US" sz="1400" baseline="0"/>
            <a:t>Better - 23</a:t>
          </a:r>
        </a:p>
        <a:p>
          <a:r>
            <a:rPr lang="en-US" sz="1400" baseline="0"/>
            <a:t>Equivalent - 12</a:t>
          </a:r>
        </a:p>
        <a:p>
          <a:r>
            <a:rPr lang="en-US" sz="1400" baseline="0"/>
            <a:t>Worse - 0</a:t>
          </a:r>
        </a:p>
        <a:p>
          <a:endParaRPr lang="en-US" sz="1400" baseline="0"/>
        </a:p>
        <a:p>
          <a:r>
            <a:rPr lang="en-US" sz="1400" baseline="0"/>
            <a:t>RDKit2D Color Count:</a:t>
          </a:r>
        </a:p>
        <a:p>
          <a:r>
            <a:rPr lang="en-US" sz="1400" baseline="0"/>
            <a:t>Better - 15</a:t>
          </a:r>
        </a:p>
        <a:p>
          <a:r>
            <a:rPr lang="en-US" sz="1400" baseline="0"/>
            <a:t>Equivalent - 13</a:t>
          </a:r>
        </a:p>
        <a:p>
          <a:r>
            <a:rPr lang="en-US" sz="1400" baseline="0"/>
            <a:t>Worse - 12</a:t>
          </a:r>
        </a:p>
        <a:p>
          <a:endParaRPr lang="en-US" sz="1400" baseline="0"/>
        </a:p>
        <a:p>
          <a:r>
            <a:rPr lang="en-US" sz="1400" baseline="0"/>
            <a:t>When RDKit2D descriptors were used, the difference between the models in overall metrics decreased. This effect was seen the most for KOR.</a:t>
          </a:r>
        </a:p>
        <a:p>
          <a:r>
            <a:rPr lang="en-US" sz="1400" baseline="0"/>
            <a:t>More likely to get better models with ECFP descriptors with the TM</a:t>
          </a:r>
        </a:p>
      </xdr:txBody>
    </xdr:sp>
    <xdr:clientData/>
  </xdr:oneCellAnchor>
  <xdr:twoCellAnchor>
    <xdr:from>
      <xdr:col>1</xdr:col>
      <xdr:colOff>381000</xdr:colOff>
      <xdr:row>8</xdr:row>
      <xdr:rowOff>12700</xdr:rowOff>
    </xdr:from>
    <xdr:to>
      <xdr:col>1</xdr:col>
      <xdr:colOff>381000</xdr:colOff>
      <xdr:row>11</xdr:row>
      <xdr:rowOff>190500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8727787-9781-574F-89FE-99E1B0EC8180}"/>
            </a:ext>
          </a:extLst>
        </xdr:cNvPr>
        <xdr:cNvCxnSpPr>
          <a:stCxn id="34" idx="2"/>
          <a:endCxn id="33" idx="0"/>
        </xdr:cNvCxnSpPr>
      </xdr:nvCxnSpPr>
      <xdr:spPr>
        <a:xfrm>
          <a:off x="1206500" y="1638300"/>
          <a:ext cx="0" cy="787400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158750</xdr:colOff>
      <xdr:row>16</xdr:row>
      <xdr:rowOff>0</xdr:rowOff>
    </xdr:from>
    <xdr:to>
      <xdr:col>1</xdr:col>
      <xdr:colOff>368300</xdr:colOff>
      <xdr:row>26</xdr:row>
      <xdr:rowOff>50800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FA893E7-7C29-5440-8E99-0DD85746C55D}"/>
            </a:ext>
          </a:extLst>
        </xdr:cNvPr>
        <xdr:cNvCxnSpPr>
          <a:endCxn id="35" idx="0"/>
        </xdr:cNvCxnSpPr>
      </xdr:nvCxnSpPr>
      <xdr:spPr>
        <a:xfrm flipH="1">
          <a:off x="984250" y="3251200"/>
          <a:ext cx="209550" cy="2095500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317499</xdr:colOff>
      <xdr:row>33</xdr:row>
      <xdr:rowOff>127436</xdr:rowOff>
    </xdr:from>
    <xdr:to>
      <xdr:col>16</xdr:col>
      <xdr:colOff>685801</xdr:colOff>
      <xdr:row>41</xdr:row>
      <xdr:rowOff>107950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7D14949-2DE6-8E4E-A4A9-D0FD44426DF4}"/>
            </a:ext>
          </a:extLst>
        </xdr:cNvPr>
        <xdr:cNvCxnSpPr>
          <a:stCxn id="35" idx="3"/>
          <a:endCxn id="22" idx="1"/>
        </xdr:cNvCxnSpPr>
      </xdr:nvCxnSpPr>
      <xdr:spPr>
        <a:xfrm flipV="1">
          <a:off x="1904999" y="6858436"/>
          <a:ext cx="14554202" cy="1606114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12700</xdr:colOff>
      <xdr:row>10</xdr:row>
      <xdr:rowOff>12700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0216369-25EB-EF42-A4C1-5E4F603A7DF0}"/>
            </a:ext>
          </a:extLst>
        </xdr:cNvPr>
        <xdr:cNvSpPr/>
      </xdr:nvSpPr>
      <xdr:spPr>
        <a:xfrm>
          <a:off x="1587500" y="1625600"/>
          <a:ext cx="609600" cy="419100"/>
        </a:xfrm>
        <a:prstGeom prst="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</xdr:row>
      <xdr:rowOff>190500</xdr:rowOff>
    </xdr:from>
    <xdr:to>
      <xdr:col>3</xdr:col>
      <xdr:colOff>12700</xdr:colOff>
      <xdr:row>4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E486777-443B-5248-9415-A7798DDE745E}"/>
            </a:ext>
          </a:extLst>
        </xdr:cNvPr>
        <xdr:cNvSpPr/>
      </xdr:nvSpPr>
      <xdr:spPr>
        <a:xfrm>
          <a:off x="1587500" y="393700"/>
          <a:ext cx="609600" cy="419100"/>
        </a:xfrm>
        <a:prstGeom prst="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3</xdr:col>
      <xdr:colOff>12700</xdr:colOff>
      <xdr:row>18</xdr:row>
      <xdr:rowOff>12700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D08E31FD-C342-BD41-9DFB-7CA0250BCE39}"/>
            </a:ext>
          </a:extLst>
        </xdr:cNvPr>
        <xdr:cNvSpPr/>
      </xdr:nvSpPr>
      <xdr:spPr>
        <a:xfrm>
          <a:off x="1587500" y="3251200"/>
          <a:ext cx="609600" cy="419100"/>
        </a:xfrm>
        <a:prstGeom prst="rect">
          <a:avLst/>
        </a:prstGeom>
        <a:noFill/>
        <a:ln w="5715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4</xdr:row>
      <xdr:rowOff>0</xdr:rowOff>
    </xdr:from>
    <xdr:to>
      <xdr:col>2</xdr:col>
      <xdr:colOff>304800</xdr:colOff>
      <xdr:row>8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71C8E69-EB8D-8640-A850-99653335320C}"/>
            </a:ext>
          </a:extLst>
        </xdr:cNvPr>
        <xdr:cNvCxnSpPr>
          <a:stCxn id="57" idx="2"/>
          <a:endCxn id="56" idx="0"/>
        </xdr:cNvCxnSpPr>
      </xdr:nvCxnSpPr>
      <xdr:spPr>
        <a:xfrm>
          <a:off x="1892300" y="812800"/>
          <a:ext cx="0" cy="8128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10</xdr:row>
      <xdr:rowOff>12700</xdr:rowOff>
    </xdr:from>
    <xdr:to>
      <xdr:col>2</xdr:col>
      <xdr:colOff>304800</xdr:colOff>
      <xdr:row>16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D34D223-845F-2341-B1FA-5CD8E796FC0B}"/>
            </a:ext>
          </a:extLst>
        </xdr:cNvPr>
        <xdr:cNvCxnSpPr>
          <a:stCxn id="56" idx="2"/>
          <a:endCxn id="58" idx="0"/>
        </xdr:cNvCxnSpPr>
      </xdr:nvCxnSpPr>
      <xdr:spPr>
        <a:xfrm>
          <a:off x="1892300" y="2044700"/>
          <a:ext cx="0" cy="12065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18</xdr:row>
      <xdr:rowOff>12700</xdr:rowOff>
    </xdr:from>
    <xdr:to>
      <xdr:col>3</xdr:col>
      <xdr:colOff>762000</xdr:colOff>
      <xdr:row>44</xdr:row>
      <xdr:rowOff>25400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7B35B89-9326-2E42-9022-562151847F05}"/>
            </a:ext>
          </a:extLst>
        </xdr:cNvPr>
        <xdr:cNvCxnSpPr>
          <a:stCxn id="58" idx="2"/>
        </xdr:cNvCxnSpPr>
      </xdr:nvCxnSpPr>
      <xdr:spPr>
        <a:xfrm>
          <a:off x="1892300" y="3670300"/>
          <a:ext cx="1054100" cy="53213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444500</xdr:colOff>
      <xdr:row>44</xdr:row>
      <xdr:rowOff>25400</xdr:rowOff>
    </xdr:from>
    <xdr:ext cx="2984500" cy="464820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9EAB83D-618E-594E-82F9-1A10DC19144C}"/>
            </a:ext>
          </a:extLst>
        </xdr:cNvPr>
        <xdr:cNvSpPr txBox="1"/>
      </xdr:nvSpPr>
      <xdr:spPr>
        <a:xfrm>
          <a:off x="3187700" y="8991600"/>
          <a:ext cx="2984500" cy="4648200"/>
        </a:xfrm>
        <a:prstGeom prst="rect">
          <a:avLst/>
        </a:prstGeom>
        <a:noFill/>
        <a:ln w="28575">
          <a:solidFill>
            <a:schemeClr val="accent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aseline="0"/>
            <a:t>Splitting strategy had the largest effect in overall model metric scores without considering comparisons. Inter-scaffold generalisation proved difficult for all models.</a:t>
          </a:r>
        </a:p>
        <a:p>
          <a:endParaRPr lang="en-US" sz="1400" baseline="0"/>
        </a:p>
        <a:p>
          <a:r>
            <a:rPr lang="en-US" sz="1400" baseline="0"/>
            <a:t>Random Color Count:</a:t>
          </a:r>
        </a:p>
        <a:p>
          <a:r>
            <a:rPr lang="en-US" sz="1400" baseline="0"/>
            <a:t>Better - 24</a:t>
          </a:r>
        </a:p>
        <a:p>
          <a:r>
            <a:rPr lang="en-US" sz="1400" baseline="0"/>
            <a:t>Equivalent - 8</a:t>
          </a:r>
        </a:p>
        <a:p>
          <a:r>
            <a:rPr lang="en-US" sz="1400" baseline="0"/>
            <a:t>Worse - 8</a:t>
          </a:r>
        </a:p>
        <a:p>
          <a:endParaRPr lang="en-US" sz="1400" baseline="0"/>
        </a:p>
        <a:p>
          <a:r>
            <a:rPr lang="en-US" sz="1400" baseline="0"/>
            <a:t>Scaffold Color Count:</a:t>
          </a:r>
        </a:p>
        <a:p>
          <a:r>
            <a:rPr lang="en-US" sz="1400" baseline="0"/>
            <a:t>Better - 14</a:t>
          </a:r>
        </a:p>
        <a:p>
          <a:r>
            <a:rPr lang="en-US" sz="1400" baseline="0"/>
            <a:t>Equivalent - 16</a:t>
          </a:r>
        </a:p>
        <a:p>
          <a:r>
            <a:rPr lang="en-US" sz="1400" baseline="0"/>
            <a:t>Worse - 8</a:t>
          </a:r>
        </a:p>
        <a:p>
          <a:endParaRPr lang="en-US" sz="1400" baseline="0"/>
        </a:p>
        <a:p>
          <a:r>
            <a:rPr lang="en-US" sz="1400" baseline="0"/>
            <a:t>By comparison, TMs were most likely to be equivalent to other methods when it came to interscaffold generalization</a:t>
          </a:r>
        </a:p>
        <a:p>
          <a:endParaRPr lang="en-US" sz="1400" baseline="0"/>
        </a:p>
        <a:p>
          <a:endParaRPr lang="en-US" sz="1400" baseline="0"/>
        </a:p>
        <a:p>
          <a:endParaRPr lang="en-US" sz="14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15EF-6E0B-8243-BB92-D82B4E97B50B}">
  <dimension ref="A1:Z37"/>
  <sheetViews>
    <sheetView zoomScale="88" workbookViewId="0">
      <selection activeCell="A6" sqref="A6:C27"/>
    </sheetView>
  </sheetViews>
  <sheetFormatPr baseColWidth="10" defaultRowHeight="16" x14ac:dyDescent="0.2"/>
  <cols>
    <col min="1" max="1" width="14.33203125" customWidth="1"/>
    <col min="2" max="2" width="8.6640625" customWidth="1"/>
    <col min="3" max="3" width="9.83203125" customWidth="1"/>
    <col min="4" max="4" width="13" customWidth="1"/>
    <col min="5" max="5" width="12.6640625" customWidth="1"/>
    <col min="6" max="6" width="13.1640625" customWidth="1"/>
    <col min="8" max="8" width="13.6640625" customWidth="1"/>
    <col min="9" max="9" width="15.1640625" customWidth="1"/>
    <col min="10" max="10" width="10.5" customWidth="1"/>
    <col min="11" max="11" width="14.6640625" customWidth="1"/>
    <col min="12" max="12" width="13.83203125" customWidth="1"/>
    <col min="14" max="14" width="13.33203125" customWidth="1"/>
    <col min="15" max="15" width="16.83203125" customWidth="1"/>
    <col min="17" max="17" width="13.6640625" customWidth="1"/>
    <col min="21" max="21" width="13.1640625" customWidth="1"/>
    <col min="22" max="22" width="13.5" customWidth="1"/>
    <col min="23" max="23" width="13.83203125" customWidth="1"/>
    <col min="24" max="24" width="13" customWidth="1"/>
    <col min="25" max="25" width="14" customWidth="1"/>
    <col min="26" max="26" width="28" customWidth="1"/>
  </cols>
  <sheetData>
    <row r="1" spans="1:26" x14ac:dyDescent="0.2">
      <c r="A1" s="124"/>
      <c r="B1" s="124"/>
      <c r="C1" s="124"/>
      <c r="D1" s="124"/>
      <c r="E1" s="125"/>
      <c r="F1" s="97" t="s">
        <v>12</v>
      </c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26" x14ac:dyDescent="0.2">
      <c r="A2" s="124"/>
      <c r="B2" s="124"/>
      <c r="C2" s="124"/>
      <c r="D2" s="124"/>
      <c r="E2" s="125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26" x14ac:dyDescent="0.2">
      <c r="A3" s="124"/>
      <c r="B3" s="124"/>
      <c r="C3" s="124"/>
      <c r="D3" s="124"/>
      <c r="E3" s="125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26" x14ac:dyDescent="0.2">
      <c r="A4" s="124"/>
      <c r="B4" s="124"/>
      <c r="C4" s="124"/>
      <c r="D4" s="124"/>
      <c r="E4" s="125"/>
      <c r="F4" s="97" t="s">
        <v>6</v>
      </c>
      <c r="G4" s="97"/>
      <c r="H4" s="97"/>
      <c r="I4" s="97" t="s">
        <v>7</v>
      </c>
      <c r="J4" s="97"/>
      <c r="K4" s="97"/>
      <c r="L4" s="97" t="s">
        <v>8</v>
      </c>
      <c r="M4" s="97"/>
      <c r="N4" s="97"/>
      <c r="O4" s="97" t="s">
        <v>9</v>
      </c>
      <c r="P4" s="97"/>
      <c r="Q4" s="97"/>
      <c r="U4" s="126" t="s">
        <v>48</v>
      </c>
      <c r="V4" s="110"/>
      <c r="W4" s="111"/>
    </row>
    <row r="5" spans="1:26" x14ac:dyDescent="0.2">
      <c r="A5" s="124"/>
      <c r="B5" s="124"/>
      <c r="C5" s="124"/>
      <c r="D5" s="124"/>
      <c r="E5" s="125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U5" s="127"/>
      <c r="V5" s="112"/>
      <c r="W5" s="113"/>
    </row>
    <row r="6" spans="1:26" x14ac:dyDescent="0.2">
      <c r="A6" s="97" t="s">
        <v>0</v>
      </c>
      <c r="B6" s="128" t="s">
        <v>42</v>
      </c>
      <c r="C6" s="128" t="s">
        <v>43</v>
      </c>
      <c r="D6" s="97" t="s">
        <v>13</v>
      </c>
      <c r="E6" s="97" t="s">
        <v>14</v>
      </c>
      <c r="F6" s="97" t="s">
        <v>10</v>
      </c>
      <c r="G6" s="97" t="s">
        <v>11</v>
      </c>
      <c r="H6" s="97" t="s">
        <v>22</v>
      </c>
      <c r="I6" s="97" t="s">
        <v>10</v>
      </c>
      <c r="J6" s="97" t="s">
        <v>11</v>
      </c>
      <c r="K6" s="97" t="s">
        <v>22</v>
      </c>
      <c r="L6" s="97" t="s">
        <v>10</v>
      </c>
      <c r="M6" s="97" t="s">
        <v>11</v>
      </c>
      <c r="N6" s="97" t="s">
        <v>22</v>
      </c>
      <c r="O6" s="97" t="s">
        <v>10</v>
      </c>
      <c r="P6" s="97" t="s">
        <v>11</v>
      </c>
      <c r="Q6" s="97" t="s">
        <v>22</v>
      </c>
      <c r="R6" s="97" t="s">
        <v>32</v>
      </c>
      <c r="S6" s="97"/>
      <c r="T6" s="98"/>
      <c r="U6" s="97" t="s">
        <v>38</v>
      </c>
      <c r="V6" s="97" t="s">
        <v>39</v>
      </c>
      <c r="W6" s="97" t="s">
        <v>40</v>
      </c>
      <c r="X6" s="110" t="s">
        <v>20</v>
      </c>
      <c r="Y6" s="110"/>
      <c r="Z6" s="111"/>
    </row>
    <row r="7" spans="1:26" x14ac:dyDescent="0.2">
      <c r="A7" s="97"/>
      <c r="B7" s="129"/>
      <c r="C7" s="129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8"/>
      <c r="U7" s="97"/>
      <c r="V7" s="97"/>
      <c r="W7" s="97"/>
      <c r="X7" s="112"/>
      <c r="Y7" s="112"/>
      <c r="Z7" s="113"/>
    </row>
    <row r="8" spans="1:26" ht="16" customHeight="1" x14ac:dyDescent="0.2">
      <c r="A8" s="117" t="s">
        <v>41</v>
      </c>
      <c r="B8" s="121">
        <v>3534</v>
      </c>
      <c r="C8" s="121">
        <v>29.7</v>
      </c>
      <c r="D8" s="119" t="s">
        <v>15</v>
      </c>
      <c r="E8" s="1" t="s">
        <v>16</v>
      </c>
      <c r="F8" s="6" t="b">
        <v>1</v>
      </c>
      <c r="G8" s="13">
        <v>0.93</v>
      </c>
      <c r="H8" s="10">
        <v>0.99</v>
      </c>
      <c r="I8" s="6" t="b">
        <v>1</v>
      </c>
      <c r="J8" s="13">
        <v>0.87</v>
      </c>
      <c r="K8" s="10">
        <v>0.99</v>
      </c>
      <c r="L8" s="6" t="b">
        <v>1</v>
      </c>
      <c r="M8" s="13">
        <v>0.72</v>
      </c>
      <c r="N8" s="10">
        <v>0.99</v>
      </c>
      <c r="O8" s="6" t="b">
        <v>0</v>
      </c>
      <c r="P8" s="18">
        <v>0.94</v>
      </c>
      <c r="Q8" s="7" t="s">
        <v>19</v>
      </c>
      <c r="R8" s="95" t="s">
        <v>1</v>
      </c>
      <c r="S8" s="95"/>
      <c r="T8" s="96"/>
      <c r="U8" s="107" t="s">
        <v>1</v>
      </c>
      <c r="V8" s="107"/>
      <c r="W8" s="107"/>
      <c r="X8" s="105" t="s">
        <v>21</v>
      </c>
      <c r="Y8" s="105"/>
      <c r="Z8" s="106"/>
    </row>
    <row r="9" spans="1:26" x14ac:dyDescent="0.2">
      <c r="A9" s="117"/>
      <c r="B9" s="122"/>
      <c r="C9" s="122"/>
      <c r="D9" s="119"/>
      <c r="E9" s="1" t="s">
        <v>17</v>
      </c>
      <c r="F9" s="2" t="b">
        <v>1</v>
      </c>
      <c r="G9" s="14">
        <v>0.89</v>
      </c>
      <c r="H9" s="11">
        <v>0.9</v>
      </c>
      <c r="I9" s="2" t="b">
        <v>1</v>
      </c>
      <c r="J9" s="14">
        <v>0.8</v>
      </c>
      <c r="K9" s="11">
        <v>0.9</v>
      </c>
      <c r="L9" s="2" t="b">
        <v>0</v>
      </c>
      <c r="M9" s="17">
        <v>0.65</v>
      </c>
      <c r="N9" s="4" t="s">
        <v>19</v>
      </c>
      <c r="O9" s="2" t="b">
        <v>1</v>
      </c>
      <c r="P9" s="14">
        <v>0.92</v>
      </c>
      <c r="Q9" s="22">
        <v>0.99</v>
      </c>
      <c r="R9" s="23" t="s">
        <v>29</v>
      </c>
      <c r="S9" s="24" t="s">
        <v>30</v>
      </c>
      <c r="T9" s="25" t="s">
        <v>31</v>
      </c>
      <c r="U9" s="108">
        <v>0.69</v>
      </c>
      <c r="V9" s="78">
        <v>0.67</v>
      </c>
      <c r="W9" s="109">
        <v>0.69</v>
      </c>
      <c r="X9" s="80"/>
      <c r="Y9" s="80"/>
      <c r="Z9" s="81"/>
    </row>
    <row r="10" spans="1:26" x14ac:dyDescent="0.2">
      <c r="A10" s="117"/>
      <c r="B10" s="122"/>
      <c r="C10" s="122"/>
      <c r="D10" s="119" t="s">
        <v>18</v>
      </c>
      <c r="E10" s="1" t="s">
        <v>16</v>
      </c>
      <c r="F10" s="2" t="b">
        <v>1</v>
      </c>
      <c r="G10" s="14">
        <v>0.92</v>
      </c>
      <c r="H10" s="11">
        <v>0.99</v>
      </c>
      <c r="I10" s="2" t="b">
        <v>1</v>
      </c>
      <c r="J10" s="14">
        <v>0.85</v>
      </c>
      <c r="K10" s="11">
        <v>0.99</v>
      </c>
      <c r="L10" s="2" t="b">
        <v>1</v>
      </c>
      <c r="M10" s="14">
        <v>0.7</v>
      </c>
      <c r="N10" s="11">
        <v>0.99</v>
      </c>
      <c r="O10" s="2" t="b">
        <v>1</v>
      </c>
      <c r="P10" s="14">
        <v>0.93</v>
      </c>
      <c r="Q10" s="22">
        <v>0.9</v>
      </c>
      <c r="R10" s="88">
        <v>11</v>
      </c>
      <c r="S10" s="88">
        <v>5</v>
      </c>
      <c r="T10" s="88">
        <v>0</v>
      </c>
      <c r="U10" s="108"/>
      <c r="V10" s="78"/>
      <c r="W10" s="109"/>
      <c r="X10" s="80"/>
      <c r="Y10" s="80"/>
      <c r="Z10" s="81"/>
    </row>
    <row r="11" spans="1:26" x14ac:dyDescent="0.2">
      <c r="A11" s="117"/>
      <c r="B11" s="123"/>
      <c r="C11" s="123"/>
      <c r="D11" s="119"/>
      <c r="E11" s="1" t="s">
        <v>17</v>
      </c>
      <c r="F11" s="3" t="b">
        <v>0</v>
      </c>
      <c r="G11" s="16">
        <v>0.87</v>
      </c>
      <c r="H11" s="9" t="s">
        <v>19</v>
      </c>
      <c r="I11" s="3" t="b">
        <v>1</v>
      </c>
      <c r="J11" s="15">
        <v>0.77</v>
      </c>
      <c r="K11" s="9">
        <v>0.9</v>
      </c>
      <c r="L11" s="3" t="b">
        <v>0</v>
      </c>
      <c r="M11" s="16">
        <v>0.64</v>
      </c>
      <c r="N11" s="8" t="s">
        <v>19</v>
      </c>
      <c r="O11" s="3" t="b">
        <v>0</v>
      </c>
      <c r="P11" s="16">
        <v>0.91</v>
      </c>
      <c r="Q11" s="9" t="s">
        <v>19</v>
      </c>
      <c r="R11" s="89"/>
      <c r="S11" s="89"/>
      <c r="T11" s="89"/>
      <c r="U11" s="108"/>
      <c r="V11" s="78"/>
      <c r="W11" s="109"/>
      <c r="X11" s="82"/>
      <c r="Y11" s="82"/>
      <c r="Z11" s="83"/>
    </row>
    <row r="12" spans="1:26" x14ac:dyDescent="0.2">
      <c r="A12" s="117" t="s">
        <v>44</v>
      </c>
      <c r="B12" s="121">
        <v>3224</v>
      </c>
      <c r="C12" s="121">
        <v>23.3</v>
      </c>
      <c r="D12" s="119" t="s">
        <v>15</v>
      </c>
      <c r="E12" s="1" t="s">
        <v>16</v>
      </c>
      <c r="F12" s="6" t="b">
        <v>1</v>
      </c>
      <c r="G12" s="13">
        <v>0.91</v>
      </c>
      <c r="H12" s="10">
        <v>0.9</v>
      </c>
      <c r="I12" s="6" t="b">
        <v>1</v>
      </c>
      <c r="J12" s="13">
        <v>0.76</v>
      </c>
      <c r="K12" s="12">
        <v>9.9000000000000008E-3</v>
      </c>
      <c r="L12" s="6" t="b">
        <v>1</v>
      </c>
      <c r="M12" s="13">
        <v>0.6</v>
      </c>
      <c r="N12" s="10">
        <v>0.9</v>
      </c>
      <c r="O12" s="6" t="b">
        <v>0</v>
      </c>
      <c r="P12" s="18">
        <v>0.95</v>
      </c>
      <c r="Q12" s="7" t="s">
        <v>19</v>
      </c>
      <c r="R12" s="95" t="s">
        <v>2</v>
      </c>
      <c r="S12" s="95"/>
      <c r="T12" s="96"/>
      <c r="U12" s="107" t="s">
        <v>2</v>
      </c>
      <c r="V12" s="107"/>
      <c r="W12" s="107"/>
      <c r="X12" s="105" t="s">
        <v>23</v>
      </c>
      <c r="Y12" s="105"/>
      <c r="Z12" s="106"/>
    </row>
    <row r="13" spans="1:26" x14ac:dyDescent="0.2">
      <c r="A13" s="117"/>
      <c r="B13" s="122"/>
      <c r="C13" s="122"/>
      <c r="D13" s="119"/>
      <c r="E13" s="1" t="s">
        <v>17</v>
      </c>
      <c r="F13" s="2" t="b">
        <v>0</v>
      </c>
      <c r="G13" s="17">
        <v>0.87</v>
      </c>
      <c r="H13" s="4" t="s">
        <v>19</v>
      </c>
      <c r="I13" s="2" t="b">
        <v>0</v>
      </c>
      <c r="J13" s="17">
        <v>0.66</v>
      </c>
      <c r="K13" s="4" t="s">
        <v>19</v>
      </c>
      <c r="L13" s="2" t="b">
        <v>1</v>
      </c>
      <c r="M13" s="14">
        <v>0.54</v>
      </c>
      <c r="N13" s="11">
        <v>0.9</v>
      </c>
      <c r="O13" s="2" t="b">
        <v>0</v>
      </c>
      <c r="P13" s="19">
        <v>0.94</v>
      </c>
      <c r="Q13" s="11">
        <v>0.99</v>
      </c>
      <c r="R13" s="23" t="s">
        <v>29</v>
      </c>
      <c r="S13" s="24" t="s">
        <v>30</v>
      </c>
      <c r="T13" s="25" t="s">
        <v>31</v>
      </c>
      <c r="U13" s="88">
        <v>0.5</v>
      </c>
      <c r="V13" s="90">
        <v>0.39</v>
      </c>
      <c r="W13" s="91">
        <v>0.49</v>
      </c>
      <c r="X13" s="80"/>
      <c r="Y13" s="80"/>
      <c r="Z13" s="81"/>
    </row>
    <row r="14" spans="1:26" x14ac:dyDescent="0.2">
      <c r="A14" s="117"/>
      <c r="B14" s="122"/>
      <c r="C14" s="122"/>
      <c r="D14" s="119" t="s">
        <v>18</v>
      </c>
      <c r="E14" s="1" t="s">
        <v>16</v>
      </c>
      <c r="F14" s="2" t="b">
        <v>0</v>
      </c>
      <c r="G14" s="19">
        <v>0.9</v>
      </c>
      <c r="H14" s="11">
        <v>0.99</v>
      </c>
      <c r="I14" s="2" t="b">
        <v>0</v>
      </c>
      <c r="J14" s="19">
        <v>0.75</v>
      </c>
      <c r="K14" s="11">
        <v>0.9</v>
      </c>
      <c r="L14" s="2" t="b">
        <v>0</v>
      </c>
      <c r="M14" s="17">
        <v>0.59</v>
      </c>
      <c r="N14" s="4" t="s">
        <v>19</v>
      </c>
      <c r="O14" s="2" t="b">
        <v>0</v>
      </c>
      <c r="P14" s="19">
        <v>0.94</v>
      </c>
      <c r="Q14" s="11">
        <v>0.99</v>
      </c>
      <c r="R14" s="88">
        <v>4</v>
      </c>
      <c r="S14" s="88">
        <v>8</v>
      </c>
      <c r="T14" s="88">
        <v>4</v>
      </c>
      <c r="U14" s="108"/>
      <c r="V14" s="78"/>
      <c r="W14" s="109"/>
      <c r="X14" s="80"/>
      <c r="Y14" s="80"/>
      <c r="Z14" s="81"/>
    </row>
    <row r="15" spans="1:26" x14ac:dyDescent="0.2">
      <c r="A15" s="117"/>
      <c r="B15" s="123"/>
      <c r="C15" s="123"/>
      <c r="D15" s="119"/>
      <c r="E15" s="1" t="s">
        <v>17</v>
      </c>
      <c r="F15" s="3" t="b">
        <v>0</v>
      </c>
      <c r="G15" s="16">
        <v>0.85</v>
      </c>
      <c r="H15" s="8" t="s">
        <v>19</v>
      </c>
      <c r="I15" s="3" t="b">
        <v>0</v>
      </c>
      <c r="J15" s="16">
        <v>0.63</v>
      </c>
      <c r="K15" s="8" t="s">
        <v>19</v>
      </c>
      <c r="L15" s="3" t="b">
        <v>0</v>
      </c>
      <c r="M15" s="16">
        <v>0.49</v>
      </c>
      <c r="N15" s="8" t="s">
        <v>19</v>
      </c>
      <c r="O15" s="3" t="b">
        <v>0</v>
      </c>
      <c r="P15" s="16">
        <v>0.93</v>
      </c>
      <c r="Q15" s="8" t="s">
        <v>19</v>
      </c>
      <c r="R15" s="89"/>
      <c r="S15" s="89"/>
      <c r="T15" s="89"/>
      <c r="U15" s="89"/>
      <c r="V15" s="79"/>
      <c r="W15" s="92"/>
      <c r="X15" s="82"/>
      <c r="Y15" s="82"/>
      <c r="Z15" s="83"/>
    </row>
    <row r="16" spans="1:26" x14ac:dyDescent="0.2">
      <c r="A16" s="117" t="s">
        <v>45</v>
      </c>
      <c r="B16" s="121">
        <v>3327</v>
      </c>
      <c r="C16" s="121">
        <v>27.8</v>
      </c>
      <c r="D16" s="119" t="s">
        <v>15</v>
      </c>
      <c r="E16" s="1" t="s">
        <v>16</v>
      </c>
      <c r="F16" s="6" t="b">
        <v>1</v>
      </c>
      <c r="G16" s="13">
        <v>0.92</v>
      </c>
      <c r="H16" s="10">
        <v>0.99</v>
      </c>
      <c r="I16" s="6" t="b">
        <v>1</v>
      </c>
      <c r="J16" s="13">
        <v>0.83</v>
      </c>
      <c r="K16" s="10">
        <v>0.9</v>
      </c>
      <c r="L16" s="6" t="b">
        <v>1</v>
      </c>
      <c r="M16" s="13">
        <v>0.68</v>
      </c>
      <c r="N16" s="10">
        <v>0.9</v>
      </c>
      <c r="O16" s="6" t="b">
        <v>1</v>
      </c>
      <c r="P16" s="13">
        <v>0.95</v>
      </c>
      <c r="Q16" s="10">
        <v>0.9</v>
      </c>
      <c r="R16" s="95" t="s">
        <v>3</v>
      </c>
      <c r="S16" s="95"/>
      <c r="T16" s="96"/>
      <c r="U16" s="114" t="s">
        <v>3</v>
      </c>
      <c r="V16" s="115"/>
      <c r="W16" s="116"/>
      <c r="X16" s="105" t="s">
        <v>24</v>
      </c>
      <c r="Y16" s="105"/>
      <c r="Z16" s="106"/>
    </row>
    <row r="17" spans="1:26" x14ac:dyDescent="0.2">
      <c r="A17" s="117"/>
      <c r="B17" s="122"/>
      <c r="C17" s="122"/>
      <c r="D17" s="119"/>
      <c r="E17" s="1" t="s">
        <v>17</v>
      </c>
      <c r="F17" s="2" t="b">
        <v>1</v>
      </c>
      <c r="G17" s="14">
        <v>0.89</v>
      </c>
      <c r="H17" s="11">
        <v>0.99</v>
      </c>
      <c r="I17" s="2" t="b">
        <v>0</v>
      </c>
      <c r="J17" s="17">
        <v>0.77</v>
      </c>
      <c r="K17" s="4" t="s">
        <v>19</v>
      </c>
      <c r="L17" s="2" t="b">
        <v>1</v>
      </c>
      <c r="M17" s="14">
        <v>0.65</v>
      </c>
      <c r="N17" s="11">
        <v>0.9</v>
      </c>
      <c r="O17" s="2" t="b">
        <v>0</v>
      </c>
      <c r="P17" s="19">
        <v>0.92</v>
      </c>
      <c r="Q17" s="11">
        <v>0.99</v>
      </c>
      <c r="R17" s="23" t="s">
        <v>29</v>
      </c>
      <c r="S17" s="24" t="s">
        <v>30</v>
      </c>
      <c r="T17" s="25" t="s">
        <v>31</v>
      </c>
      <c r="U17" s="88">
        <v>0.66</v>
      </c>
      <c r="V17" s="90">
        <v>0.66</v>
      </c>
      <c r="W17" s="91">
        <v>0.67</v>
      </c>
      <c r="X17" s="80"/>
      <c r="Y17" s="80"/>
      <c r="Z17" s="81"/>
    </row>
    <row r="18" spans="1:26" x14ac:dyDescent="0.2">
      <c r="A18" s="117"/>
      <c r="B18" s="122"/>
      <c r="C18" s="122"/>
      <c r="D18" s="119" t="s">
        <v>18</v>
      </c>
      <c r="E18" s="1" t="s">
        <v>16</v>
      </c>
      <c r="F18" s="2" t="b">
        <v>0</v>
      </c>
      <c r="G18" s="19">
        <v>0.91</v>
      </c>
      <c r="H18" s="11">
        <v>0.99</v>
      </c>
      <c r="I18" s="2" t="b">
        <v>0</v>
      </c>
      <c r="J18" s="19">
        <v>0.82</v>
      </c>
      <c r="K18" s="11">
        <v>0.99</v>
      </c>
      <c r="L18" s="2" t="b">
        <v>0</v>
      </c>
      <c r="M18" s="17">
        <v>0.68</v>
      </c>
      <c r="N18" s="4" t="s">
        <v>19</v>
      </c>
      <c r="O18" s="2" t="b">
        <v>0</v>
      </c>
      <c r="P18" s="19">
        <v>0.93</v>
      </c>
      <c r="Q18" s="11">
        <v>0.99</v>
      </c>
      <c r="R18" s="88">
        <v>6</v>
      </c>
      <c r="S18" s="88">
        <v>2</v>
      </c>
      <c r="T18" s="88">
        <v>8</v>
      </c>
      <c r="U18" s="108"/>
      <c r="V18" s="78"/>
      <c r="W18" s="109"/>
      <c r="X18" s="80"/>
      <c r="Y18" s="80"/>
      <c r="Z18" s="81"/>
    </row>
    <row r="19" spans="1:26" x14ac:dyDescent="0.2">
      <c r="A19" s="117"/>
      <c r="B19" s="123"/>
      <c r="C19" s="123"/>
      <c r="D19" s="119"/>
      <c r="E19" s="1" t="s">
        <v>17</v>
      </c>
      <c r="F19" s="3" t="b">
        <v>0</v>
      </c>
      <c r="G19" s="20">
        <v>0.87</v>
      </c>
      <c r="H19" s="9">
        <v>0.99</v>
      </c>
      <c r="I19" s="3" t="b">
        <v>0</v>
      </c>
      <c r="J19" s="20">
        <v>0.75</v>
      </c>
      <c r="K19" s="9">
        <v>0.99</v>
      </c>
      <c r="L19" s="3" t="b">
        <v>0</v>
      </c>
      <c r="M19" s="20">
        <v>0.62</v>
      </c>
      <c r="N19" s="9">
        <v>0.9</v>
      </c>
      <c r="O19" s="3" t="b">
        <v>0</v>
      </c>
      <c r="P19" s="20">
        <v>0.91</v>
      </c>
      <c r="Q19" s="9">
        <v>0.99</v>
      </c>
      <c r="R19" s="89"/>
      <c r="S19" s="89"/>
      <c r="T19" s="89"/>
      <c r="U19" s="89"/>
      <c r="V19" s="79"/>
      <c r="W19" s="92"/>
      <c r="X19" s="82"/>
      <c r="Y19" s="82"/>
      <c r="Z19" s="83"/>
    </row>
    <row r="20" spans="1:26" x14ac:dyDescent="0.2">
      <c r="A20" s="117" t="s">
        <v>46</v>
      </c>
      <c r="B20" s="121">
        <v>2294</v>
      </c>
      <c r="C20" s="121">
        <v>1.4</v>
      </c>
      <c r="D20" s="119" t="s">
        <v>15</v>
      </c>
      <c r="E20" s="1" t="s">
        <v>16</v>
      </c>
      <c r="F20" s="6" t="b">
        <v>1</v>
      </c>
      <c r="G20" s="13">
        <v>0.72</v>
      </c>
      <c r="H20" s="10">
        <v>0.99</v>
      </c>
      <c r="I20" s="6" t="b">
        <v>0</v>
      </c>
      <c r="J20" s="21">
        <v>0.11</v>
      </c>
      <c r="K20" s="10">
        <v>0.99</v>
      </c>
      <c r="L20" s="6" t="b">
        <v>1</v>
      </c>
      <c r="M20" s="13">
        <v>0.05</v>
      </c>
      <c r="N20" s="10">
        <v>0.99</v>
      </c>
      <c r="O20" s="6" t="b">
        <v>0</v>
      </c>
      <c r="P20" s="18">
        <v>0.99</v>
      </c>
      <c r="Q20" s="7" t="s">
        <v>19</v>
      </c>
      <c r="R20" s="95" t="s">
        <v>4</v>
      </c>
      <c r="S20" s="95"/>
      <c r="T20" s="96"/>
      <c r="U20" s="107" t="s">
        <v>4</v>
      </c>
      <c r="V20" s="107"/>
      <c r="W20" s="107"/>
      <c r="X20" s="105" t="s">
        <v>33</v>
      </c>
      <c r="Y20" s="105"/>
      <c r="Z20" s="106"/>
    </row>
    <row r="21" spans="1:26" x14ac:dyDescent="0.2">
      <c r="A21" s="117"/>
      <c r="B21" s="122"/>
      <c r="C21" s="122"/>
      <c r="D21" s="119"/>
      <c r="E21" s="1" t="s">
        <v>17</v>
      </c>
      <c r="F21" s="2" t="b">
        <v>0</v>
      </c>
      <c r="G21" s="17">
        <v>0.61</v>
      </c>
      <c r="H21" s="4" t="s">
        <v>19</v>
      </c>
      <c r="I21" s="2" t="b">
        <v>0</v>
      </c>
      <c r="J21" s="19">
        <v>0.15</v>
      </c>
      <c r="K21" s="11">
        <v>0.99</v>
      </c>
      <c r="L21" s="2" t="b">
        <v>0</v>
      </c>
      <c r="M21" s="17">
        <v>7.0000000000000007E-2</v>
      </c>
      <c r="N21" s="4" t="s">
        <v>19</v>
      </c>
      <c r="O21" s="2" t="b">
        <v>0</v>
      </c>
      <c r="P21" s="17">
        <v>0.98</v>
      </c>
      <c r="Q21" s="4" t="s">
        <v>19</v>
      </c>
      <c r="R21" s="23" t="s">
        <v>29</v>
      </c>
      <c r="S21" s="24" t="s">
        <v>30</v>
      </c>
      <c r="T21" s="25" t="s">
        <v>31</v>
      </c>
      <c r="U21" s="88">
        <v>0.03</v>
      </c>
      <c r="V21" s="90">
        <v>0.02</v>
      </c>
      <c r="W21" s="91">
        <v>0.02</v>
      </c>
      <c r="X21" s="80"/>
      <c r="Y21" s="80"/>
      <c r="Z21" s="81"/>
    </row>
    <row r="22" spans="1:26" x14ac:dyDescent="0.2">
      <c r="A22" s="117"/>
      <c r="B22" s="122"/>
      <c r="C22" s="122"/>
      <c r="D22" s="119" t="s">
        <v>18</v>
      </c>
      <c r="E22" s="1" t="s">
        <v>16</v>
      </c>
      <c r="F22" s="2" t="b">
        <v>1</v>
      </c>
      <c r="G22" s="14">
        <v>0.69</v>
      </c>
      <c r="H22" s="11">
        <v>0.99</v>
      </c>
      <c r="I22" s="2" t="b">
        <v>0</v>
      </c>
      <c r="J22" s="19">
        <v>0.1</v>
      </c>
      <c r="K22" s="11">
        <v>0.99</v>
      </c>
      <c r="L22" s="2" t="b">
        <v>0</v>
      </c>
      <c r="M22" s="17">
        <v>0.04</v>
      </c>
      <c r="N22" s="4" t="s">
        <v>19</v>
      </c>
      <c r="O22" s="2" t="b">
        <v>0</v>
      </c>
      <c r="P22" s="17">
        <v>0.99</v>
      </c>
      <c r="Q22" s="4" t="s">
        <v>19</v>
      </c>
      <c r="R22" s="88">
        <v>5</v>
      </c>
      <c r="S22" s="88">
        <v>7</v>
      </c>
      <c r="T22" s="88">
        <v>4</v>
      </c>
      <c r="U22" s="108"/>
      <c r="V22" s="78"/>
      <c r="W22" s="109"/>
      <c r="X22" s="80"/>
      <c r="Y22" s="80"/>
      <c r="Z22" s="81"/>
    </row>
    <row r="23" spans="1:26" x14ac:dyDescent="0.2">
      <c r="A23" s="117"/>
      <c r="B23" s="123"/>
      <c r="C23" s="123"/>
      <c r="D23" s="119"/>
      <c r="E23" s="1" t="s">
        <v>17</v>
      </c>
      <c r="F23" s="3" t="b">
        <v>1</v>
      </c>
      <c r="G23" s="15">
        <v>0.63</v>
      </c>
      <c r="H23" s="9">
        <v>0.99</v>
      </c>
      <c r="I23" s="3" t="b">
        <v>0</v>
      </c>
      <c r="J23" s="20">
        <v>0.11</v>
      </c>
      <c r="K23" s="9">
        <v>0.99</v>
      </c>
      <c r="L23" s="3" t="b">
        <v>1</v>
      </c>
      <c r="M23" s="15">
        <v>0.02</v>
      </c>
      <c r="N23" s="9">
        <v>0.99</v>
      </c>
      <c r="O23" s="3" t="b">
        <v>0</v>
      </c>
      <c r="P23" s="16">
        <v>0.99</v>
      </c>
      <c r="Q23" s="8" t="s">
        <v>19</v>
      </c>
      <c r="R23" s="89"/>
      <c r="S23" s="89"/>
      <c r="T23" s="89"/>
      <c r="U23" s="89"/>
      <c r="V23" s="79"/>
      <c r="W23" s="92"/>
      <c r="X23" s="82"/>
      <c r="Y23" s="82"/>
      <c r="Z23" s="83"/>
    </row>
    <row r="24" spans="1:26" x14ac:dyDescent="0.2">
      <c r="A24" s="118" t="s">
        <v>47</v>
      </c>
      <c r="B24" s="121">
        <v>3672</v>
      </c>
      <c r="C24" s="121">
        <v>2.2000000000000002</v>
      </c>
      <c r="D24" s="120" t="s">
        <v>15</v>
      </c>
      <c r="E24" s="5" t="s">
        <v>16</v>
      </c>
      <c r="F24" s="2" t="b">
        <v>1</v>
      </c>
      <c r="G24" s="14">
        <v>0.92</v>
      </c>
      <c r="H24" s="11">
        <v>0.99</v>
      </c>
      <c r="I24" s="2" t="b">
        <v>1</v>
      </c>
      <c r="J24" s="14">
        <v>0.63</v>
      </c>
      <c r="K24" s="11">
        <v>0.99</v>
      </c>
      <c r="L24" s="2" t="b">
        <v>0</v>
      </c>
      <c r="M24" s="17">
        <v>0.39</v>
      </c>
      <c r="N24" s="11" t="s">
        <v>19</v>
      </c>
      <c r="O24" s="2" t="b">
        <v>1</v>
      </c>
      <c r="P24" s="14">
        <v>0.99</v>
      </c>
      <c r="Q24" s="11">
        <v>0.99</v>
      </c>
      <c r="R24" s="95" t="s">
        <v>5</v>
      </c>
      <c r="S24" s="95"/>
      <c r="T24" s="96"/>
      <c r="U24" s="107" t="s">
        <v>5</v>
      </c>
      <c r="V24" s="107"/>
      <c r="W24" s="107"/>
      <c r="X24" s="105" t="s">
        <v>21</v>
      </c>
      <c r="Y24" s="105"/>
      <c r="Z24" s="106"/>
    </row>
    <row r="25" spans="1:26" x14ac:dyDescent="0.2">
      <c r="A25" s="117"/>
      <c r="B25" s="122"/>
      <c r="C25" s="122"/>
      <c r="D25" s="119"/>
      <c r="E25" s="1" t="s">
        <v>17</v>
      </c>
      <c r="F25" s="2" t="b">
        <v>0</v>
      </c>
      <c r="G25" s="17">
        <v>0.85</v>
      </c>
      <c r="H25" s="11" t="s">
        <v>19</v>
      </c>
      <c r="I25" s="2" t="b">
        <v>1</v>
      </c>
      <c r="J25" s="14">
        <v>0.49</v>
      </c>
      <c r="K25" s="11">
        <v>0.99</v>
      </c>
      <c r="L25" s="2" t="b">
        <v>1</v>
      </c>
      <c r="M25" s="14">
        <v>0.35</v>
      </c>
      <c r="N25" s="11">
        <v>0.99</v>
      </c>
      <c r="O25" s="2" t="b">
        <v>0</v>
      </c>
      <c r="P25" s="17">
        <v>0.99</v>
      </c>
      <c r="Q25" s="4" t="s">
        <v>19</v>
      </c>
      <c r="R25" s="23" t="s">
        <v>29</v>
      </c>
      <c r="S25" s="24" t="s">
        <v>30</v>
      </c>
      <c r="T25" s="25" t="s">
        <v>31</v>
      </c>
      <c r="U25" s="88">
        <v>0.3</v>
      </c>
      <c r="V25" s="90">
        <v>0.1</v>
      </c>
      <c r="W25" s="91">
        <v>0.26</v>
      </c>
      <c r="X25" s="80"/>
      <c r="Y25" s="80"/>
      <c r="Z25" s="81"/>
    </row>
    <row r="26" spans="1:26" x14ac:dyDescent="0.2">
      <c r="A26" s="117"/>
      <c r="B26" s="122"/>
      <c r="C26" s="122"/>
      <c r="D26" s="119" t="s">
        <v>18</v>
      </c>
      <c r="E26" s="1" t="s">
        <v>16</v>
      </c>
      <c r="F26" s="2" t="b">
        <v>1</v>
      </c>
      <c r="G26" s="14">
        <v>0.88</v>
      </c>
      <c r="H26" s="11">
        <v>0.99</v>
      </c>
      <c r="I26" s="2" t="b">
        <v>1</v>
      </c>
      <c r="J26" s="14">
        <v>0.6</v>
      </c>
      <c r="K26" s="11">
        <v>0.99</v>
      </c>
      <c r="L26" s="2" t="b">
        <v>1</v>
      </c>
      <c r="M26" s="14">
        <v>0.33</v>
      </c>
      <c r="N26" s="11">
        <v>0.9</v>
      </c>
      <c r="O26" s="2" t="b">
        <v>1</v>
      </c>
      <c r="P26" s="14">
        <v>0.99</v>
      </c>
      <c r="Q26" s="11">
        <v>0.9</v>
      </c>
      <c r="R26" s="88">
        <v>12</v>
      </c>
      <c r="S26" s="88">
        <v>4</v>
      </c>
      <c r="T26" s="88">
        <v>0</v>
      </c>
      <c r="U26" s="108"/>
      <c r="V26" s="78"/>
      <c r="W26" s="109"/>
      <c r="X26" s="80"/>
      <c r="Y26" s="80"/>
      <c r="Z26" s="81"/>
    </row>
    <row r="27" spans="1:26" x14ac:dyDescent="0.2">
      <c r="A27" s="117"/>
      <c r="B27" s="123"/>
      <c r="C27" s="123"/>
      <c r="D27" s="119"/>
      <c r="E27" s="1" t="s">
        <v>17</v>
      </c>
      <c r="F27" s="3" t="b">
        <v>0</v>
      </c>
      <c r="G27" s="16">
        <v>0.78</v>
      </c>
      <c r="H27" s="8" t="s">
        <v>19</v>
      </c>
      <c r="I27" s="3" t="b">
        <v>1</v>
      </c>
      <c r="J27" s="15">
        <v>0.39</v>
      </c>
      <c r="K27" s="9">
        <v>0.99</v>
      </c>
      <c r="L27" s="3" t="b">
        <v>1</v>
      </c>
      <c r="M27" s="15">
        <v>0.24</v>
      </c>
      <c r="N27" s="9">
        <v>0.99</v>
      </c>
      <c r="O27" s="3" t="b">
        <v>0</v>
      </c>
      <c r="P27" s="15">
        <v>0.99</v>
      </c>
      <c r="Q27" s="9">
        <v>0.9</v>
      </c>
      <c r="R27" s="89"/>
      <c r="S27" s="89"/>
      <c r="T27" s="89"/>
      <c r="U27" s="89"/>
      <c r="V27" s="79"/>
      <c r="W27" s="92"/>
      <c r="X27" s="82"/>
      <c r="Y27" s="82"/>
      <c r="Z27" s="83"/>
    </row>
    <row r="28" spans="1:26" x14ac:dyDescent="0.2">
      <c r="F28" s="97" t="s">
        <v>25</v>
      </c>
      <c r="G28" s="97"/>
      <c r="H28" s="97"/>
      <c r="I28" s="97" t="s">
        <v>26</v>
      </c>
      <c r="J28" s="97"/>
      <c r="K28" s="97"/>
      <c r="L28" s="97" t="s">
        <v>27</v>
      </c>
      <c r="M28" s="97"/>
      <c r="N28" s="97"/>
      <c r="O28" s="97" t="s">
        <v>28</v>
      </c>
      <c r="P28" s="97"/>
      <c r="Q28" s="97"/>
    </row>
    <row r="29" spans="1:26" ht="16" customHeight="1" x14ac:dyDescent="0.2"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S29" s="101" t="s">
        <v>29</v>
      </c>
      <c r="T29" s="102"/>
      <c r="U29" s="90" t="s">
        <v>34</v>
      </c>
      <c r="V29" s="105" t="s">
        <v>36</v>
      </c>
      <c r="W29" s="106"/>
    </row>
    <row r="30" spans="1:26" x14ac:dyDescent="0.2">
      <c r="F30" s="84" t="s">
        <v>29</v>
      </c>
      <c r="G30" s="93" t="s">
        <v>30</v>
      </c>
      <c r="H30" s="86" t="s">
        <v>31</v>
      </c>
      <c r="I30" s="84" t="s">
        <v>29</v>
      </c>
      <c r="J30" s="93" t="s">
        <v>30</v>
      </c>
      <c r="K30" s="86" t="s">
        <v>31</v>
      </c>
      <c r="L30" s="84" t="s">
        <v>29</v>
      </c>
      <c r="M30" s="93" t="s">
        <v>30</v>
      </c>
      <c r="N30" s="86" t="s">
        <v>31</v>
      </c>
      <c r="O30" s="84" t="s">
        <v>29</v>
      </c>
      <c r="P30" s="93" t="s">
        <v>30</v>
      </c>
      <c r="Q30" s="86" t="s">
        <v>31</v>
      </c>
      <c r="S30" s="103"/>
      <c r="T30" s="104"/>
      <c r="U30" s="78"/>
      <c r="V30" s="80"/>
      <c r="W30" s="81"/>
    </row>
    <row r="31" spans="1:26" x14ac:dyDescent="0.2">
      <c r="F31" s="85"/>
      <c r="G31" s="94"/>
      <c r="H31" s="87"/>
      <c r="I31" s="85"/>
      <c r="J31" s="94"/>
      <c r="K31" s="87"/>
      <c r="L31" s="85"/>
      <c r="M31" s="94"/>
      <c r="N31" s="87"/>
      <c r="O31" s="85"/>
      <c r="P31" s="94"/>
      <c r="Q31" s="87"/>
      <c r="S31" s="103"/>
      <c r="T31" s="104"/>
      <c r="U31" s="78"/>
      <c r="V31" s="80"/>
      <c r="W31" s="81"/>
    </row>
    <row r="32" spans="1:26" ht="16" customHeight="1" x14ac:dyDescent="0.2">
      <c r="F32" s="88">
        <v>11</v>
      </c>
      <c r="G32" s="90">
        <v>6</v>
      </c>
      <c r="H32" s="91">
        <v>3</v>
      </c>
      <c r="I32" s="90">
        <v>10</v>
      </c>
      <c r="J32" s="90">
        <v>3</v>
      </c>
      <c r="K32" s="91">
        <v>7</v>
      </c>
      <c r="L32" s="90">
        <v>11</v>
      </c>
      <c r="M32" s="90">
        <v>8</v>
      </c>
      <c r="N32" s="91">
        <v>1</v>
      </c>
      <c r="O32" s="90">
        <v>6</v>
      </c>
      <c r="P32" s="90">
        <v>9</v>
      </c>
      <c r="Q32" s="91">
        <v>5</v>
      </c>
      <c r="S32" s="99" t="s">
        <v>30</v>
      </c>
      <c r="T32" s="100"/>
      <c r="U32" s="78" t="s">
        <v>34</v>
      </c>
      <c r="V32" s="80" t="s">
        <v>35</v>
      </c>
      <c r="W32" s="81"/>
    </row>
    <row r="33" spans="6:23" x14ac:dyDescent="0.2">
      <c r="F33" s="89"/>
      <c r="G33" s="79"/>
      <c r="H33" s="92"/>
      <c r="I33" s="79"/>
      <c r="J33" s="79"/>
      <c r="K33" s="92"/>
      <c r="L33" s="79"/>
      <c r="M33" s="79"/>
      <c r="N33" s="92"/>
      <c r="O33" s="79"/>
      <c r="P33" s="79"/>
      <c r="Q33" s="92"/>
      <c r="S33" s="99"/>
      <c r="T33" s="100"/>
      <c r="U33" s="78"/>
      <c r="V33" s="80"/>
      <c r="W33" s="81"/>
    </row>
    <row r="34" spans="6:23" x14ac:dyDescent="0.2">
      <c r="S34" s="99"/>
      <c r="T34" s="100"/>
      <c r="U34" s="78"/>
      <c r="V34" s="80"/>
      <c r="W34" s="81"/>
    </row>
    <row r="35" spans="6:23" x14ac:dyDescent="0.2">
      <c r="S35" s="74" t="s">
        <v>31</v>
      </c>
      <c r="T35" s="75"/>
      <c r="U35" s="78" t="s">
        <v>34</v>
      </c>
      <c r="V35" s="80" t="s">
        <v>37</v>
      </c>
      <c r="W35" s="81"/>
    </row>
    <row r="36" spans="6:23" x14ac:dyDescent="0.2">
      <c r="S36" s="74"/>
      <c r="T36" s="75"/>
      <c r="U36" s="78"/>
      <c r="V36" s="80"/>
      <c r="W36" s="81"/>
    </row>
    <row r="37" spans="6:23" x14ac:dyDescent="0.2">
      <c r="S37" s="76"/>
      <c r="T37" s="77"/>
      <c r="U37" s="79"/>
      <c r="V37" s="82"/>
      <c r="W37" s="83"/>
    </row>
  </sheetData>
  <mergeCells count="136">
    <mergeCell ref="V17:V19"/>
    <mergeCell ref="W17:W19"/>
    <mergeCell ref="A1:E5"/>
    <mergeCell ref="A6:A7"/>
    <mergeCell ref="D6:D7"/>
    <mergeCell ref="E6:E7"/>
    <mergeCell ref="U4:W5"/>
    <mergeCell ref="U6:U7"/>
    <mergeCell ref="V6:V7"/>
    <mergeCell ref="W6:W7"/>
    <mergeCell ref="B6:B7"/>
    <mergeCell ref="C6:C7"/>
    <mergeCell ref="K6:K7"/>
    <mergeCell ref="F1:Q3"/>
    <mergeCell ref="F4:H5"/>
    <mergeCell ref="I4:K5"/>
    <mergeCell ref="L4:N5"/>
    <mergeCell ref="O4:Q5"/>
    <mergeCell ref="F6:F7"/>
    <mergeCell ref="G6:G7"/>
    <mergeCell ref="H6:H7"/>
    <mergeCell ref="I6:I7"/>
    <mergeCell ref="J6:J7"/>
    <mergeCell ref="A8:A11"/>
    <mergeCell ref="D8:D9"/>
    <mergeCell ref="D10:D11"/>
    <mergeCell ref="A12:A15"/>
    <mergeCell ref="A16:A19"/>
    <mergeCell ref="B8:B11"/>
    <mergeCell ref="B12:B15"/>
    <mergeCell ref="B16:B19"/>
    <mergeCell ref="C16:C19"/>
    <mergeCell ref="C8:C11"/>
    <mergeCell ref="C12:C15"/>
    <mergeCell ref="A20:A23"/>
    <mergeCell ref="A24:A27"/>
    <mergeCell ref="D12:D13"/>
    <mergeCell ref="D14:D15"/>
    <mergeCell ref="D16:D17"/>
    <mergeCell ref="D18:D19"/>
    <mergeCell ref="D20:D21"/>
    <mergeCell ref="D22:D23"/>
    <mergeCell ref="D24:D25"/>
    <mergeCell ref="D26:D27"/>
    <mergeCell ref="B20:B23"/>
    <mergeCell ref="C20:C23"/>
    <mergeCell ref="B24:B27"/>
    <mergeCell ref="C24:C27"/>
    <mergeCell ref="X6:Z7"/>
    <mergeCell ref="X8:Z11"/>
    <mergeCell ref="X12:Z15"/>
    <mergeCell ref="X16:Z19"/>
    <mergeCell ref="L6:L7"/>
    <mergeCell ref="M6:M7"/>
    <mergeCell ref="N6:N7"/>
    <mergeCell ref="O6:O7"/>
    <mergeCell ref="P6:P7"/>
    <mergeCell ref="Q6:Q7"/>
    <mergeCell ref="U8:W8"/>
    <mergeCell ref="U9:U11"/>
    <mergeCell ref="V9:V11"/>
    <mergeCell ref="W9:W11"/>
    <mergeCell ref="U12:W12"/>
    <mergeCell ref="U16:W16"/>
    <mergeCell ref="R16:T16"/>
    <mergeCell ref="R18:R19"/>
    <mergeCell ref="S18:S19"/>
    <mergeCell ref="T18:T19"/>
    <mergeCell ref="U13:U15"/>
    <mergeCell ref="V13:V15"/>
    <mergeCell ref="W13:W15"/>
    <mergeCell ref="U17:U19"/>
    <mergeCell ref="X20:Z23"/>
    <mergeCell ref="X24:Z27"/>
    <mergeCell ref="F28:H29"/>
    <mergeCell ref="I28:K29"/>
    <mergeCell ref="L28:N29"/>
    <mergeCell ref="O28:Q29"/>
    <mergeCell ref="U20:W20"/>
    <mergeCell ref="U24:W24"/>
    <mergeCell ref="U21:U23"/>
    <mergeCell ref="V21:V23"/>
    <mergeCell ref="W21:W23"/>
    <mergeCell ref="U25:U27"/>
    <mergeCell ref="V25:V27"/>
    <mergeCell ref="W25:W27"/>
    <mergeCell ref="R26:R27"/>
    <mergeCell ref="S26:S27"/>
    <mergeCell ref="T26:T27"/>
    <mergeCell ref="R20:T20"/>
    <mergeCell ref="R24:T24"/>
    <mergeCell ref="R22:R23"/>
    <mergeCell ref="S22:S23"/>
    <mergeCell ref="T22:T23"/>
    <mergeCell ref="V29:W31"/>
    <mergeCell ref="U29:U31"/>
    <mergeCell ref="R8:T8"/>
    <mergeCell ref="R6:T7"/>
    <mergeCell ref="R12:T12"/>
    <mergeCell ref="L32:L33"/>
    <mergeCell ref="M32:M33"/>
    <mergeCell ref="N32:N33"/>
    <mergeCell ref="O32:O33"/>
    <mergeCell ref="P32:P33"/>
    <mergeCell ref="Q32:Q33"/>
    <mergeCell ref="P30:P31"/>
    <mergeCell ref="Q30:Q31"/>
    <mergeCell ref="R10:R11"/>
    <mergeCell ref="S10:S11"/>
    <mergeCell ref="T10:T11"/>
    <mergeCell ref="R14:R15"/>
    <mergeCell ref="S14:S15"/>
    <mergeCell ref="T14:T15"/>
    <mergeCell ref="L30:L31"/>
    <mergeCell ref="M30:M31"/>
    <mergeCell ref="N30:N31"/>
    <mergeCell ref="S32:T34"/>
    <mergeCell ref="S29:T31"/>
    <mergeCell ref="S35:T37"/>
    <mergeCell ref="U35:U37"/>
    <mergeCell ref="V35:W37"/>
    <mergeCell ref="O30:O31"/>
    <mergeCell ref="K30:K31"/>
    <mergeCell ref="F32:F33"/>
    <mergeCell ref="G32:G33"/>
    <mergeCell ref="H32:H33"/>
    <mergeCell ref="I32:I33"/>
    <mergeCell ref="J32:J33"/>
    <mergeCell ref="F30:F31"/>
    <mergeCell ref="G30:G31"/>
    <mergeCell ref="H30:H31"/>
    <mergeCell ref="I30:I31"/>
    <mergeCell ref="J30:J31"/>
    <mergeCell ref="K32:K33"/>
    <mergeCell ref="V32:W34"/>
    <mergeCell ref="U32:U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4358-D4FF-1148-B1E1-119846983695}">
  <dimension ref="A1:C21"/>
  <sheetViews>
    <sheetView zoomScale="150" workbookViewId="0">
      <selection activeCell="C6" sqref="A1:C6"/>
    </sheetView>
  </sheetViews>
  <sheetFormatPr baseColWidth="10" defaultRowHeight="16" x14ac:dyDescent="0.2"/>
  <cols>
    <col min="1" max="1" width="15.83203125" customWidth="1"/>
  </cols>
  <sheetData>
    <row r="1" spans="1:3" x14ac:dyDescent="0.2">
      <c r="A1" s="26" t="s">
        <v>0</v>
      </c>
      <c r="B1" s="27" t="s">
        <v>42</v>
      </c>
      <c r="C1" s="27" t="s">
        <v>43</v>
      </c>
    </row>
    <row r="2" spans="1:3" ht="16" customHeight="1" x14ac:dyDescent="0.2">
      <c r="A2" s="38" t="s">
        <v>41</v>
      </c>
      <c r="B2" s="37">
        <v>3534</v>
      </c>
      <c r="C2" s="37">
        <v>29.7</v>
      </c>
    </row>
    <row r="3" spans="1:3" ht="17" x14ac:dyDescent="0.2">
      <c r="A3" s="38" t="s">
        <v>44</v>
      </c>
      <c r="B3" s="37">
        <v>3224</v>
      </c>
      <c r="C3" s="37">
        <v>23.3</v>
      </c>
    </row>
    <row r="4" spans="1:3" ht="17" x14ac:dyDescent="0.2">
      <c r="A4" s="38" t="s">
        <v>3</v>
      </c>
      <c r="B4" s="37">
        <v>3327</v>
      </c>
      <c r="C4" s="37">
        <v>27.8</v>
      </c>
    </row>
    <row r="5" spans="1:3" ht="17" x14ac:dyDescent="0.2">
      <c r="A5" s="38" t="s">
        <v>4</v>
      </c>
      <c r="B5" s="37">
        <v>2294</v>
      </c>
      <c r="C5" s="37">
        <v>1.4</v>
      </c>
    </row>
    <row r="6" spans="1:3" ht="16" customHeight="1" x14ac:dyDescent="0.2">
      <c r="A6" s="38" t="s">
        <v>5</v>
      </c>
      <c r="B6" s="37">
        <v>3672</v>
      </c>
      <c r="C6" s="37">
        <v>2.2000000000000002</v>
      </c>
    </row>
    <row r="7" spans="1:3" x14ac:dyDescent="0.2">
      <c r="A7" s="35"/>
      <c r="B7" s="36"/>
      <c r="C7" s="36"/>
    </row>
    <row r="8" spans="1:3" x14ac:dyDescent="0.2">
      <c r="A8" s="35"/>
      <c r="B8" s="36"/>
      <c r="C8" s="36"/>
    </row>
    <row r="9" spans="1:3" x14ac:dyDescent="0.2">
      <c r="A9" s="35"/>
      <c r="B9" s="36"/>
      <c r="C9" s="36"/>
    </row>
    <row r="10" spans="1:3" x14ac:dyDescent="0.2">
      <c r="A10" s="35"/>
      <c r="B10" s="36"/>
      <c r="C10" s="36"/>
    </row>
    <row r="11" spans="1:3" x14ac:dyDescent="0.2">
      <c r="A11" s="35"/>
      <c r="B11" s="36"/>
      <c r="C11" s="36"/>
    </row>
    <row r="12" spans="1:3" x14ac:dyDescent="0.2">
      <c r="A12" s="35"/>
      <c r="B12" s="36"/>
      <c r="C12" s="36"/>
    </row>
    <row r="13" spans="1:3" x14ac:dyDescent="0.2">
      <c r="A13" s="35"/>
      <c r="B13" s="36"/>
      <c r="C13" s="36"/>
    </row>
    <row r="14" spans="1:3" x14ac:dyDescent="0.2">
      <c r="A14" s="35"/>
      <c r="B14" s="36"/>
      <c r="C14" s="36"/>
    </row>
    <row r="15" spans="1:3" x14ac:dyDescent="0.2">
      <c r="A15" s="35"/>
      <c r="B15" s="36"/>
      <c r="C15" s="36"/>
    </row>
    <row r="16" spans="1:3" x14ac:dyDescent="0.2">
      <c r="A16" s="35"/>
      <c r="B16" s="36"/>
      <c r="C16" s="36"/>
    </row>
    <row r="17" spans="1:3" x14ac:dyDescent="0.2">
      <c r="A17" s="35"/>
      <c r="B17" s="36"/>
      <c r="C17" s="36"/>
    </row>
    <row r="18" spans="1:3" x14ac:dyDescent="0.2">
      <c r="A18" s="35"/>
      <c r="B18" s="36"/>
      <c r="C18" s="36"/>
    </row>
    <row r="19" spans="1:3" x14ac:dyDescent="0.2">
      <c r="A19" s="35"/>
      <c r="B19" s="36"/>
      <c r="C19" s="36"/>
    </row>
    <row r="20" spans="1:3" x14ac:dyDescent="0.2">
      <c r="A20" s="35"/>
      <c r="B20" s="36"/>
      <c r="C20" s="36"/>
    </row>
    <row r="21" spans="1:3" x14ac:dyDescent="0.2">
      <c r="A21" s="35"/>
      <c r="B21" s="36"/>
      <c r="C21" s="3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1093-F1C0-0C4C-88E3-0A533582D6DD}">
  <dimension ref="A1:W37"/>
  <sheetViews>
    <sheetView topLeftCell="D1" zoomScaleNormal="100" workbookViewId="0">
      <selection activeCell="F13" sqref="F13"/>
    </sheetView>
  </sheetViews>
  <sheetFormatPr baseColWidth="10" defaultRowHeight="16" x14ac:dyDescent="0.2"/>
  <cols>
    <col min="6" max="6" width="15.5" customWidth="1"/>
    <col min="7" max="7" width="17.1640625" customWidth="1"/>
    <col min="8" max="8" width="15.1640625" customWidth="1"/>
    <col min="9" max="9" width="16.83203125" customWidth="1"/>
    <col min="10" max="10" width="13.1640625" customWidth="1"/>
    <col min="11" max="11" width="15.5" customWidth="1"/>
    <col min="13" max="13" width="15.1640625" customWidth="1"/>
  </cols>
  <sheetData>
    <row r="1" spans="1:23" x14ac:dyDescent="0.2">
      <c r="A1" s="124"/>
      <c r="B1" s="124"/>
      <c r="C1" s="124"/>
      <c r="D1" s="124"/>
      <c r="E1" s="125"/>
      <c r="F1" s="126" t="s">
        <v>12</v>
      </c>
      <c r="G1" s="110"/>
      <c r="H1" s="110"/>
      <c r="I1" s="110"/>
      <c r="J1" s="110"/>
      <c r="K1" s="110"/>
      <c r="L1" s="110"/>
      <c r="M1" s="110"/>
      <c r="N1" s="28"/>
      <c r="O1" s="28"/>
      <c r="P1" s="28"/>
      <c r="Q1" s="28"/>
    </row>
    <row r="2" spans="1:23" x14ac:dyDescent="0.2">
      <c r="A2" s="124"/>
      <c r="B2" s="124"/>
      <c r="C2" s="124"/>
      <c r="D2" s="124"/>
      <c r="E2" s="125"/>
      <c r="F2" s="140"/>
      <c r="G2" s="138"/>
      <c r="H2" s="138"/>
      <c r="I2" s="138"/>
      <c r="J2" s="138"/>
      <c r="K2" s="138"/>
      <c r="L2" s="138"/>
      <c r="M2" s="138"/>
      <c r="N2" s="28"/>
      <c r="O2" s="28"/>
      <c r="P2" s="28"/>
      <c r="Q2" s="28"/>
    </row>
    <row r="3" spans="1:23" x14ac:dyDescent="0.2">
      <c r="A3" s="124"/>
      <c r="B3" s="124"/>
      <c r="C3" s="124"/>
      <c r="D3" s="124"/>
      <c r="E3" s="125"/>
      <c r="F3" s="127"/>
      <c r="G3" s="112"/>
      <c r="H3" s="112"/>
      <c r="I3" s="112"/>
      <c r="J3" s="112"/>
      <c r="K3" s="112"/>
      <c r="L3" s="112"/>
      <c r="M3" s="112"/>
      <c r="N3" s="28"/>
      <c r="O3" s="28"/>
      <c r="P3" s="28"/>
      <c r="Q3" s="28"/>
    </row>
    <row r="4" spans="1:23" x14ac:dyDescent="0.2">
      <c r="A4" s="124"/>
      <c r="B4" s="124"/>
      <c r="C4" s="124"/>
      <c r="D4" s="124"/>
      <c r="E4" s="125"/>
      <c r="F4" s="126" t="s">
        <v>6</v>
      </c>
      <c r="G4" s="111"/>
      <c r="H4" s="126" t="s">
        <v>7</v>
      </c>
      <c r="I4" s="111"/>
      <c r="J4" s="126" t="s">
        <v>8</v>
      </c>
      <c r="K4" s="111"/>
      <c r="L4" s="126" t="s">
        <v>9</v>
      </c>
      <c r="M4" s="110"/>
      <c r="N4" s="28"/>
      <c r="O4" s="28"/>
      <c r="P4" s="28"/>
      <c r="Q4" s="126" t="s">
        <v>48</v>
      </c>
      <c r="R4" s="110"/>
      <c r="S4" s="111"/>
      <c r="U4" s="28"/>
      <c r="V4" s="28"/>
      <c r="W4" s="28"/>
    </row>
    <row r="5" spans="1:23" x14ac:dyDescent="0.2">
      <c r="A5" s="124"/>
      <c r="B5" s="124"/>
      <c r="C5" s="124"/>
      <c r="D5" s="124"/>
      <c r="E5" s="125"/>
      <c r="F5" s="127"/>
      <c r="G5" s="113"/>
      <c r="H5" s="127"/>
      <c r="I5" s="113"/>
      <c r="J5" s="127"/>
      <c r="K5" s="113"/>
      <c r="L5" s="127"/>
      <c r="M5" s="112"/>
      <c r="N5" s="28"/>
      <c r="O5" s="28"/>
      <c r="P5" s="28"/>
      <c r="Q5" s="127"/>
      <c r="R5" s="112"/>
      <c r="S5" s="113"/>
      <c r="U5" s="29"/>
      <c r="V5" s="29"/>
      <c r="W5" s="28"/>
    </row>
    <row r="6" spans="1:23" x14ac:dyDescent="0.2">
      <c r="A6" s="97" t="s">
        <v>0</v>
      </c>
      <c r="B6" s="128" t="s">
        <v>42</v>
      </c>
      <c r="C6" s="128" t="s">
        <v>43</v>
      </c>
      <c r="D6" s="97" t="s">
        <v>13</v>
      </c>
      <c r="E6" s="97" t="s">
        <v>14</v>
      </c>
      <c r="F6" s="97" t="s">
        <v>11</v>
      </c>
      <c r="G6" s="97" t="s">
        <v>22</v>
      </c>
      <c r="H6" s="97" t="s">
        <v>11</v>
      </c>
      <c r="I6" s="97" t="s">
        <v>22</v>
      </c>
      <c r="J6" s="97" t="s">
        <v>11</v>
      </c>
      <c r="K6" s="97" t="s">
        <v>22</v>
      </c>
      <c r="L6" s="97" t="s">
        <v>11</v>
      </c>
      <c r="M6" s="97" t="s">
        <v>22</v>
      </c>
      <c r="N6" s="97" t="s">
        <v>32</v>
      </c>
      <c r="O6" s="97"/>
      <c r="P6" s="98"/>
      <c r="Q6" s="97" t="s">
        <v>38</v>
      </c>
      <c r="R6" s="97" t="s">
        <v>39</v>
      </c>
      <c r="S6" s="97" t="s">
        <v>40</v>
      </c>
      <c r="T6" s="110" t="s">
        <v>20</v>
      </c>
      <c r="U6" s="138"/>
      <c r="V6" s="139"/>
    </row>
    <row r="7" spans="1:23" x14ac:dyDescent="0.2">
      <c r="A7" s="97"/>
      <c r="B7" s="129"/>
      <c r="C7" s="129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  <c r="Q7" s="97"/>
      <c r="R7" s="97"/>
      <c r="S7" s="97"/>
      <c r="T7" s="112"/>
      <c r="U7" s="112"/>
      <c r="V7" s="113"/>
    </row>
    <row r="8" spans="1:23" x14ac:dyDescent="0.2">
      <c r="A8" s="117" t="s">
        <v>41</v>
      </c>
      <c r="B8" s="121">
        <v>3534</v>
      </c>
      <c r="C8" s="121">
        <v>29.7</v>
      </c>
      <c r="D8" s="119" t="s">
        <v>15</v>
      </c>
      <c r="E8" s="1" t="s">
        <v>16</v>
      </c>
      <c r="F8" s="13">
        <v>0.93</v>
      </c>
      <c r="G8" s="10">
        <v>0.99</v>
      </c>
      <c r="H8" s="13">
        <v>0.87</v>
      </c>
      <c r="I8" s="10">
        <v>0.99</v>
      </c>
      <c r="J8" s="13">
        <v>0.72</v>
      </c>
      <c r="K8" s="10">
        <v>0.99</v>
      </c>
      <c r="L8" s="18">
        <v>0.94</v>
      </c>
      <c r="M8" s="7" t="s">
        <v>19</v>
      </c>
      <c r="N8" s="95" t="s">
        <v>1</v>
      </c>
      <c r="O8" s="95"/>
      <c r="P8" s="96"/>
      <c r="Q8" s="107" t="s">
        <v>1</v>
      </c>
      <c r="R8" s="107"/>
      <c r="S8" s="107"/>
      <c r="T8" s="105" t="s">
        <v>21</v>
      </c>
      <c r="U8" s="105"/>
      <c r="V8" s="106"/>
    </row>
    <row r="9" spans="1:23" x14ac:dyDescent="0.2">
      <c r="A9" s="117"/>
      <c r="B9" s="122"/>
      <c r="C9" s="122"/>
      <c r="D9" s="119"/>
      <c r="E9" s="1" t="s">
        <v>17</v>
      </c>
      <c r="F9" s="14">
        <v>0.89</v>
      </c>
      <c r="G9" s="11">
        <v>0.9</v>
      </c>
      <c r="H9" s="14">
        <v>0.8</v>
      </c>
      <c r="I9" s="11">
        <v>0.9</v>
      </c>
      <c r="J9" s="17">
        <v>0.65</v>
      </c>
      <c r="K9" s="4" t="s">
        <v>19</v>
      </c>
      <c r="L9" s="14">
        <v>0.92</v>
      </c>
      <c r="M9" s="22">
        <v>0.99</v>
      </c>
      <c r="N9" s="23" t="s">
        <v>29</v>
      </c>
      <c r="O9" s="24" t="s">
        <v>30</v>
      </c>
      <c r="P9" s="25" t="s">
        <v>31</v>
      </c>
      <c r="Q9" s="108">
        <v>0.69</v>
      </c>
      <c r="R9" s="78">
        <v>0.67</v>
      </c>
      <c r="S9" s="109">
        <v>0.69</v>
      </c>
      <c r="T9" s="80"/>
      <c r="U9" s="80"/>
      <c r="V9" s="81"/>
    </row>
    <row r="10" spans="1:23" x14ac:dyDescent="0.2">
      <c r="A10" s="117"/>
      <c r="B10" s="122"/>
      <c r="C10" s="122"/>
      <c r="D10" s="119" t="s">
        <v>18</v>
      </c>
      <c r="E10" s="1" t="s">
        <v>16</v>
      </c>
      <c r="F10" s="14">
        <v>0.92</v>
      </c>
      <c r="G10" s="11">
        <v>0.99</v>
      </c>
      <c r="H10" s="14">
        <v>0.85</v>
      </c>
      <c r="I10" s="11">
        <v>0.99</v>
      </c>
      <c r="J10" s="14">
        <v>0.7</v>
      </c>
      <c r="K10" s="11">
        <v>0.99</v>
      </c>
      <c r="L10" s="14">
        <v>0.93</v>
      </c>
      <c r="M10" s="22">
        <v>0.9</v>
      </c>
      <c r="N10" s="88">
        <v>11</v>
      </c>
      <c r="O10" s="88">
        <v>5</v>
      </c>
      <c r="P10" s="88">
        <v>0</v>
      </c>
      <c r="Q10" s="108"/>
      <c r="R10" s="78"/>
      <c r="S10" s="109"/>
      <c r="T10" s="80"/>
      <c r="U10" s="80"/>
      <c r="V10" s="81"/>
    </row>
    <row r="11" spans="1:23" x14ac:dyDescent="0.2">
      <c r="A11" s="117"/>
      <c r="B11" s="123"/>
      <c r="C11" s="123"/>
      <c r="D11" s="119"/>
      <c r="E11" s="1" t="s">
        <v>17</v>
      </c>
      <c r="F11" s="16">
        <v>0.87</v>
      </c>
      <c r="G11" s="9" t="s">
        <v>19</v>
      </c>
      <c r="H11" s="15">
        <v>0.77</v>
      </c>
      <c r="I11" s="9">
        <v>0.9</v>
      </c>
      <c r="J11" s="16">
        <v>0.64</v>
      </c>
      <c r="K11" s="8" t="s">
        <v>19</v>
      </c>
      <c r="L11" s="16">
        <v>0.91</v>
      </c>
      <c r="M11" s="9" t="s">
        <v>19</v>
      </c>
      <c r="N11" s="89"/>
      <c r="O11" s="89"/>
      <c r="P11" s="89"/>
      <c r="Q11" s="108"/>
      <c r="R11" s="78"/>
      <c r="S11" s="109"/>
      <c r="T11" s="82"/>
      <c r="U11" s="82"/>
      <c r="V11" s="83"/>
    </row>
    <row r="12" spans="1:23" x14ac:dyDescent="0.2">
      <c r="A12" s="117" t="s">
        <v>44</v>
      </c>
      <c r="B12" s="121">
        <v>3224</v>
      </c>
      <c r="C12" s="121">
        <v>23.3</v>
      </c>
      <c r="D12" s="119" t="s">
        <v>15</v>
      </c>
      <c r="E12" s="1" t="s">
        <v>16</v>
      </c>
      <c r="F12" s="13">
        <v>0.91</v>
      </c>
      <c r="G12" s="10">
        <v>0.9</v>
      </c>
      <c r="H12" s="13">
        <v>0.76</v>
      </c>
      <c r="I12" s="12">
        <v>9.9000000000000008E-3</v>
      </c>
      <c r="J12" s="13">
        <v>0.6</v>
      </c>
      <c r="K12" s="10">
        <v>0.9</v>
      </c>
      <c r="L12" s="18">
        <v>0.95</v>
      </c>
      <c r="M12" s="7" t="s">
        <v>19</v>
      </c>
      <c r="N12" s="95" t="s">
        <v>2</v>
      </c>
      <c r="O12" s="95"/>
      <c r="P12" s="96"/>
      <c r="Q12" s="107" t="s">
        <v>2</v>
      </c>
      <c r="R12" s="107"/>
      <c r="S12" s="107"/>
      <c r="T12" s="105" t="s">
        <v>23</v>
      </c>
      <c r="U12" s="105"/>
      <c r="V12" s="106"/>
    </row>
    <row r="13" spans="1:23" x14ac:dyDescent="0.2">
      <c r="A13" s="117"/>
      <c r="B13" s="122"/>
      <c r="C13" s="122"/>
      <c r="D13" s="119"/>
      <c r="E13" s="1" t="s">
        <v>17</v>
      </c>
      <c r="F13" s="17">
        <v>0.87</v>
      </c>
      <c r="G13" s="4" t="s">
        <v>19</v>
      </c>
      <c r="H13" s="17">
        <v>0.66</v>
      </c>
      <c r="I13" s="4" t="s">
        <v>19</v>
      </c>
      <c r="J13" s="14">
        <v>0.54</v>
      </c>
      <c r="K13" s="11">
        <v>0.9</v>
      </c>
      <c r="L13" s="19">
        <v>0.94</v>
      </c>
      <c r="M13" s="11">
        <v>0.99</v>
      </c>
      <c r="N13" s="23" t="s">
        <v>29</v>
      </c>
      <c r="O13" s="24" t="s">
        <v>30</v>
      </c>
      <c r="P13" s="25" t="s">
        <v>31</v>
      </c>
      <c r="Q13" s="88">
        <v>0.5</v>
      </c>
      <c r="R13" s="90">
        <v>0.39</v>
      </c>
      <c r="S13" s="91">
        <v>0.49</v>
      </c>
      <c r="T13" s="80"/>
      <c r="U13" s="80"/>
      <c r="V13" s="81"/>
    </row>
    <row r="14" spans="1:23" x14ac:dyDescent="0.2">
      <c r="A14" s="117"/>
      <c r="B14" s="122"/>
      <c r="C14" s="122"/>
      <c r="D14" s="119" t="s">
        <v>18</v>
      </c>
      <c r="E14" s="1" t="s">
        <v>16</v>
      </c>
      <c r="F14" s="19">
        <v>0.9</v>
      </c>
      <c r="G14" s="11">
        <v>0.99</v>
      </c>
      <c r="H14" s="19">
        <v>0.75</v>
      </c>
      <c r="I14" s="11">
        <v>0.9</v>
      </c>
      <c r="J14" s="17">
        <v>0.59</v>
      </c>
      <c r="K14" s="4" t="s">
        <v>19</v>
      </c>
      <c r="L14" s="19">
        <v>0.94</v>
      </c>
      <c r="M14" s="11">
        <v>0.99</v>
      </c>
      <c r="N14" s="88">
        <v>4</v>
      </c>
      <c r="O14" s="88">
        <v>8</v>
      </c>
      <c r="P14" s="88">
        <v>4</v>
      </c>
      <c r="Q14" s="108"/>
      <c r="R14" s="78"/>
      <c r="S14" s="109"/>
      <c r="T14" s="80"/>
      <c r="U14" s="80"/>
      <c r="V14" s="81"/>
    </row>
    <row r="15" spans="1:23" x14ac:dyDescent="0.2">
      <c r="A15" s="117"/>
      <c r="B15" s="123"/>
      <c r="C15" s="123"/>
      <c r="D15" s="119"/>
      <c r="E15" s="1" t="s">
        <v>17</v>
      </c>
      <c r="F15" s="16">
        <v>0.85</v>
      </c>
      <c r="G15" s="8" t="s">
        <v>19</v>
      </c>
      <c r="H15" s="16">
        <v>0.63</v>
      </c>
      <c r="I15" s="8" t="s">
        <v>19</v>
      </c>
      <c r="J15" s="16">
        <v>0.49</v>
      </c>
      <c r="K15" s="8" t="s">
        <v>19</v>
      </c>
      <c r="L15" s="16">
        <v>0.93</v>
      </c>
      <c r="M15" s="8" t="s">
        <v>19</v>
      </c>
      <c r="N15" s="89"/>
      <c r="O15" s="89"/>
      <c r="P15" s="89"/>
      <c r="Q15" s="89"/>
      <c r="R15" s="79"/>
      <c r="S15" s="92"/>
      <c r="T15" s="82"/>
      <c r="U15" s="82"/>
      <c r="V15" s="83"/>
    </row>
    <row r="16" spans="1:23" x14ac:dyDescent="0.2">
      <c r="A16" s="117" t="s">
        <v>45</v>
      </c>
      <c r="B16" s="121">
        <v>3327</v>
      </c>
      <c r="C16" s="121">
        <v>27.8</v>
      </c>
      <c r="D16" s="119" t="s">
        <v>15</v>
      </c>
      <c r="E16" s="1" t="s">
        <v>16</v>
      </c>
      <c r="F16" s="13">
        <v>0.92</v>
      </c>
      <c r="G16" s="10">
        <v>0.99</v>
      </c>
      <c r="H16" s="13">
        <v>0.83</v>
      </c>
      <c r="I16" s="10">
        <v>0.9</v>
      </c>
      <c r="J16" s="13">
        <v>0.68</v>
      </c>
      <c r="K16" s="10">
        <v>0.9</v>
      </c>
      <c r="L16" s="13">
        <v>0.95</v>
      </c>
      <c r="M16" s="10">
        <v>0.9</v>
      </c>
      <c r="N16" s="95" t="s">
        <v>3</v>
      </c>
      <c r="O16" s="95"/>
      <c r="P16" s="96"/>
      <c r="Q16" s="114" t="s">
        <v>3</v>
      </c>
      <c r="R16" s="115"/>
      <c r="S16" s="116"/>
      <c r="T16" s="105" t="s">
        <v>24</v>
      </c>
      <c r="U16" s="105"/>
      <c r="V16" s="106"/>
    </row>
    <row r="17" spans="1:22" x14ac:dyDescent="0.2">
      <c r="A17" s="117"/>
      <c r="B17" s="122"/>
      <c r="C17" s="122"/>
      <c r="D17" s="119"/>
      <c r="E17" s="1" t="s">
        <v>17</v>
      </c>
      <c r="F17" s="14">
        <v>0.89</v>
      </c>
      <c r="G17" s="11">
        <v>0.99</v>
      </c>
      <c r="H17" s="17">
        <v>0.77</v>
      </c>
      <c r="I17" s="4" t="s">
        <v>19</v>
      </c>
      <c r="J17" s="14">
        <v>0.65</v>
      </c>
      <c r="K17" s="11">
        <v>0.9</v>
      </c>
      <c r="L17" s="19">
        <v>0.92</v>
      </c>
      <c r="M17" s="11">
        <v>0.99</v>
      </c>
      <c r="N17" s="23" t="s">
        <v>29</v>
      </c>
      <c r="O17" s="24" t="s">
        <v>30</v>
      </c>
      <c r="P17" s="25" t="s">
        <v>31</v>
      </c>
      <c r="Q17" s="88">
        <v>0.66</v>
      </c>
      <c r="R17" s="90">
        <v>0.66</v>
      </c>
      <c r="S17" s="91">
        <v>0.67</v>
      </c>
      <c r="T17" s="80"/>
      <c r="U17" s="80"/>
      <c r="V17" s="81"/>
    </row>
    <row r="18" spans="1:22" x14ac:dyDescent="0.2">
      <c r="A18" s="117"/>
      <c r="B18" s="122"/>
      <c r="C18" s="122"/>
      <c r="D18" s="119" t="s">
        <v>18</v>
      </c>
      <c r="E18" s="1" t="s">
        <v>16</v>
      </c>
      <c r="F18" s="19">
        <v>0.91</v>
      </c>
      <c r="G18" s="11">
        <v>0.99</v>
      </c>
      <c r="H18" s="19">
        <v>0.82</v>
      </c>
      <c r="I18" s="11">
        <v>0.99</v>
      </c>
      <c r="J18" s="17">
        <v>0.68</v>
      </c>
      <c r="K18" s="4" t="s">
        <v>19</v>
      </c>
      <c r="L18" s="19">
        <v>0.93</v>
      </c>
      <c r="M18" s="11">
        <v>0.99</v>
      </c>
      <c r="N18" s="88">
        <v>6</v>
      </c>
      <c r="O18" s="88">
        <v>2</v>
      </c>
      <c r="P18" s="88">
        <v>8</v>
      </c>
      <c r="Q18" s="108"/>
      <c r="R18" s="78"/>
      <c r="S18" s="109"/>
      <c r="T18" s="80"/>
      <c r="U18" s="80"/>
      <c r="V18" s="81"/>
    </row>
    <row r="19" spans="1:22" x14ac:dyDescent="0.2">
      <c r="A19" s="117"/>
      <c r="B19" s="123"/>
      <c r="C19" s="123"/>
      <c r="D19" s="119"/>
      <c r="E19" s="1" t="s">
        <v>17</v>
      </c>
      <c r="F19" s="20">
        <v>0.87</v>
      </c>
      <c r="G19" s="9">
        <v>0.99</v>
      </c>
      <c r="H19" s="20">
        <v>0.75</v>
      </c>
      <c r="I19" s="9">
        <v>0.99</v>
      </c>
      <c r="J19" s="20">
        <v>0.62</v>
      </c>
      <c r="K19" s="9">
        <v>0.9</v>
      </c>
      <c r="L19" s="20">
        <v>0.91</v>
      </c>
      <c r="M19" s="9">
        <v>0.99</v>
      </c>
      <c r="N19" s="89"/>
      <c r="O19" s="89"/>
      <c r="P19" s="89"/>
      <c r="Q19" s="89"/>
      <c r="R19" s="79"/>
      <c r="S19" s="92"/>
      <c r="T19" s="82"/>
      <c r="U19" s="82"/>
      <c r="V19" s="83"/>
    </row>
    <row r="20" spans="1:22" x14ac:dyDescent="0.2">
      <c r="A20" s="117" t="s">
        <v>46</v>
      </c>
      <c r="B20" s="121">
        <v>2294</v>
      </c>
      <c r="C20" s="121">
        <v>1.4</v>
      </c>
      <c r="D20" s="119" t="s">
        <v>15</v>
      </c>
      <c r="E20" s="1" t="s">
        <v>16</v>
      </c>
      <c r="F20" s="13">
        <v>0.72</v>
      </c>
      <c r="G20" s="10">
        <v>0.99</v>
      </c>
      <c r="H20" s="21">
        <v>0.11</v>
      </c>
      <c r="I20" s="10">
        <v>0.99</v>
      </c>
      <c r="J20" s="13">
        <v>0.05</v>
      </c>
      <c r="K20" s="10">
        <v>0.99</v>
      </c>
      <c r="L20" s="18">
        <v>0.99</v>
      </c>
      <c r="M20" s="7" t="s">
        <v>19</v>
      </c>
      <c r="N20" s="95" t="s">
        <v>4</v>
      </c>
      <c r="O20" s="95"/>
      <c r="P20" s="96"/>
      <c r="Q20" s="107" t="s">
        <v>4</v>
      </c>
      <c r="R20" s="107"/>
      <c r="S20" s="107"/>
      <c r="T20" s="105" t="s">
        <v>33</v>
      </c>
      <c r="U20" s="105"/>
      <c r="V20" s="106"/>
    </row>
    <row r="21" spans="1:22" x14ac:dyDescent="0.2">
      <c r="A21" s="117"/>
      <c r="B21" s="122"/>
      <c r="C21" s="122"/>
      <c r="D21" s="119"/>
      <c r="E21" s="1" t="s">
        <v>17</v>
      </c>
      <c r="F21" s="17">
        <v>0.61</v>
      </c>
      <c r="G21" s="4" t="s">
        <v>19</v>
      </c>
      <c r="H21" s="19">
        <v>0.15</v>
      </c>
      <c r="I21" s="11">
        <v>0.99</v>
      </c>
      <c r="J21" s="17">
        <v>7.0000000000000007E-2</v>
      </c>
      <c r="K21" s="4" t="s">
        <v>19</v>
      </c>
      <c r="L21" s="17">
        <v>0.98</v>
      </c>
      <c r="M21" s="4" t="s">
        <v>19</v>
      </c>
      <c r="N21" s="23" t="s">
        <v>29</v>
      </c>
      <c r="O21" s="24" t="s">
        <v>30</v>
      </c>
      <c r="P21" s="25" t="s">
        <v>31</v>
      </c>
      <c r="Q21" s="88">
        <v>0.03</v>
      </c>
      <c r="R21" s="90">
        <v>0.02</v>
      </c>
      <c r="S21" s="91">
        <v>0.02</v>
      </c>
      <c r="T21" s="80"/>
      <c r="U21" s="80"/>
      <c r="V21" s="81"/>
    </row>
    <row r="22" spans="1:22" x14ac:dyDescent="0.2">
      <c r="A22" s="117"/>
      <c r="B22" s="122"/>
      <c r="C22" s="122"/>
      <c r="D22" s="119" t="s">
        <v>18</v>
      </c>
      <c r="E22" s="1" t="s">
        <v>16</v>
      </c>
      <c r="F22" s="14">
        <v>0.69</v>
      </c>
      <c r="G22" s="11">
        <v>0.99</v>
      </c>
      <c r="H22" s="19">
        <v>0.1</v>
      </c>
      <c r="I22" s="11">
        <v>0.99</v>
      </c>
      <c r="J22" s="17">
        <v>0.04</v>
      </c>
      <c r="K22" s="4" t="s">
        <v>19</v>
      </c>
      <c r="L22" s="17">
        <v>0.99</v>
      </c>
      <c r="M22" s="4" t="s">
        <v>19</v>
      </c>
      <c r="N22" s="88">
        <v>5</v>
      </c>
      <c r="O22" s="88">
        <v>7</v>
      </c>
      <c r="P22" s="88">
        <v>4</v>
      </c>
      <c r="Q22" s="108"/>
      <c r="R22" s="78"/>
      <c r="S22" s="109"/>
      <c r="T22" s="80"/>
      <c r="U22" s="80"/>
      <c r="V22" s="81"/>
    </row>
    <row r="23" spans="1:22" x14ac:dyDescent="0.2">
      <c r="A23" s="117"/>
      <c r="B23" s="123"/>
      <c r="C23" s="123"/>
      <c r="D23" s="119"/>
      <c r="E23" s="1" t="s">
        <v>17</v>
      </c>
      <c r="F23" s="15">
        <v>0.63</v>
      </c>
      <c r="G23" s="9">
        <v>0.99</v>
      </c>
      <c r="H23" s="20">
        <v>0.11</v>
      </c>
      <c r="I23" s="9">
        <v>0.99</v>
      </c>
      <c r="J23" s="15">
        <v>0.02</v>
      </c>
      <c r="K23" s="9">
        <v>0.99</v>
      </c>
      <c r="L23" s="16">
        <v>0.99</v>
      </c>
      <c r="M23" s="8" t="s">
        <v>19</v>
      </c>
      <c r="N23" s="89"/>
      <c r="O23" s="89"/>
      <c r="P23" s="89"/>
      <c r="Q23" s="89"/>
      <c r="R23" s="79"/>
      <c r="S23" s="92"/>
      <c r="T23" s="82"/>
      <c r="U23" s="82"/>
      <c r="V23" s="83"/>
    </row>
    <row r="24" spans="1:22" x14ac:dyDescent="0.2">
      <c r="A24" s="118" t="s">
        <v>47</v>
      </c>
      <c r="B24" s="121">
        <v>3672</v>
      </c>
      <c r="C24" s="121">
        <v>2.2000000000000002</v>
      </c>
      <c r="D24" s="120" t="s">
        <v>15</v>
      </c>
      <c r="E24" s="5" t="s">
        <v>16</v>
      </c>
      <c r="F24" s="14">
        <v>0.92</v>
      </c>
      <c r="G24" s="11">
        <v>0.99</v>
      </c>
      <c r="H24" s="14">
        <v>0.63</v>
      </c>
      <c r="I24" s="11">
        <v>0.99</v>
      </c>
      <c r="J24" s="17">
        <v>0.39</v>
      </c>
      <c r="K24" s="11" t="s">
        <v>19</v>
      </c>
      <c r="L24" s="14">
        <v>0.99</v>
      </c>
      <c r="M24" s="11">
        <v>0.99</v>
      </c>
      <c r="N24" s="95" t="s">
        <v>5</v>
      </c>
      <c r="O24" s="95"/>
      <c r="P24" s="96"/>
      <c r="Q24" s="107" t="s">
        <v>5</v>
      </c>
      <c r="R24" s="107"/>
      <c r="S24" s="107"/>
      <c r="T24" s="105" t="s">
        <v>21</v>
      </c>
      <c r="U24" s="105"/>
      <c r="V24" s="106"/>
    </row>
    <row r="25" spans="1:22" x14ac:dyDescent="0.2">
      <c r="A25" s="117"/>
      <c r="B25" s="122"/>
      <c r="C25" s="122"/>
      <c r="D25" s="119"/>
      <c r="E25" s="1" t="s">
        <v>17</v>
      </c>
      <c r="F25" s="17">
        <v>0.85</v>
      </c>
      <c r="G25" s="11" t="s">
        <v>19</v>
      </c>
      <c r="H25" s="14">
        <v>0.49</v>
      </c>
      <c r="I25" s="11">
        <v>0.99</v>
      </c>
      <c r="J25" s="14">
        <v>0.35</v>
      </c>
      <c r="K25" s="11">
        <v>0.99</v>
      </c>
      <c r="L25" s="17">
        <v>0.99</v>
      </c>
      <c r="M25" s="4" t="s">
        <v>19</v>
      </c>
      <c r="N25" s="23" t="s">
        <v>29</v>
      </c>
      <c r="O25" s="24" t="s">
        <v>30</v>
      </c>
      <c r="P25" s="25" t="s">
        <v>31</v>
      </c>
      <c r="Q25" s="88">
        <v>0.3</v>
      </c>
      <c r="R25" s="90">
        <v>0.1</v>
      </c>
      <c r="S25" s="91">
        <v>0.26</v>
      </c>
      <c r="T25" s="80"/>
      <c r="U25" s="80"/>
      <c r="V25" s="81"/>
    </row>
    <row r="26" spans="1:22" x14ac:dyDescent="0.2">
      <c r="A26" s="117"/>
      <c r="B26" s="122"/>
      <c r="C26" s="122"/>
      <c r="D26" s="119" t="s">
        <v>18</v>
      </c>
      <c r="E26" s="1" t="s">
        <v>16</v>
      </c>
      <c r="F26" s="14">
        <v>0.88</v>
      </c>
      <c r="G26" s="11">
        <v>0.99</v>
      </c>
      <c r="H26" s="14">
        <v>0.6</v>
      </c>
      <c r="I26" s="11">
        <v>0.99</v>
      </c>
      <c r="J26" s="14">
        <v>0.33</v>
      </c>
      <c r="K26" s="11">
        <v>0.9</v>
      </c>
      <c r="L26" s="14">
        <v>0.99</v>
      </c>
      <c r="M26" s="11">
        <v>0.9</v>
      </c>
      <c r="N26" s="88">
        <v>12</v>
      </c>
      <c r="O26" s="88">
        <v>4</v>
      </c>
      <c r="P26" s="88">
        <v>0</v>
      </c>
      <c r="Q26" s="108"/>
      <c r="R26" s="78"/>
      <c r="S26" s="109"/>
      <c r="T26" s="80"/>
      <c r="U26" s="80"/>
      <c r="V26" s="81"/>
    </row>
    <row r="27" spans="1:22" x14ac:dyDescent="0.2">
      <c r="A27" s="117"/>
      <c r="B27" s="123"/>
      <c r="C27" s="123"/>
      <c r="D27" s="119"/>
      <c r="E27" s="1" t="s">
        <v>17</v>
      </c>
      <c r="F27" s="16">
        <v>0.78</v>
      </c>
      <c r="G27" s="8" t="s">
        <v>19</v>
      </c>
      <c r="H27" s="15">
        <v>0.39</v>
      </c>
      <c r="I27" s="9">
        <v>0.99</v>
      </c>
      <c r="J27" s="15">
        <v>0.24</v>
      </c>
      <c r="K27" s="9">
        <v>0.99</v>
      </c>
      <c r="L27" s="15">
        <v>0.99</v>
      </c>
      <c r="M27" s="9">
        <v>0.9</v>
      </c>
      <c r="N27" s="89"/>
      <c r="O27" s="89"/>
      <c r="P27" s="89"/>
      <c r="Q27" s="89"/>
      <c r="R27" s="79"/>
      <c r="S27" s="92"/>
      <c r="T27" s="82"/>
      <c r="U27" s="82"/>
      <c r="V27" s="83"/>
    </row>
    <row r="28" spans="1:22" x14ac:dyDescent="0.2">
      <c r="F28" s="126" t="s">
        <v>25</v>
      </c>
      <c r="G28" s="111"/>
      <c r="H28" s="126" t="s">
        <v>26</v>
      </c>
      <c r="I28" s="111"/>
      <c r="J28" s="126" t="s">
        <v>27</v>
      </c>
      <c r="K28" s="111"/>
      <c r="L28" s="126" t="s">
        <v>28</v>
      </c>
      <c r="M28" s="111"/>
    </row>
    <row r="29" spans="1:22" ht="16" customHeight="1" x14ac:dyDescent="0.2">
      <c r="F29" s="127"/>
      <c r="G29" s="113"/>
      <c r="H29" s="127"/>
      <c r="I29" s="113"/>
      <c r="J29" s="127"/>
      <c r="K29" s="113"/>
      <c r="L29" s="127"/>
      <c r="M29" s="113"/>
      <c r="O29" s="135" t="s">
        <v>29</v>
      </c>
      <c r="P29" s="135"/>
      <c r="Q29" s="132" t="s">
        <v>34</v>
      </c>
      <c r="R29" s="130" t="s">
        <v>36</v>
      </c>
      <c r="S29" s="130"/>
      <c r="T29" s="130"/>
    </row>
    <row r="30" spans="1:22" x14ac:dyDescent="0.2">
      <c r="F30" s="84" t="s">
        <v>29</v>
      </c>
      <c r="G30" s="133">
        <v>11</v>
      </c>
      <c r="H30" s="84" t="s">
        <v>29</v>
      </c>
      <c r="I30" s="91">
        <v>10</v>
      </c>
      <c r="J30" s="84" t="s">
        <v>29</v>
      </c>
      <c r="K30" s="91">
        <v>11</v>
      </c>
      <c r="L30" s="84" t="s">
        <v>29</v>
      </c>
      <c r="M30" s="91">
        <v>6</v>
      </c>
      <c r="O30" s="135"/>
      <c r="P30" s="135"/>
      <c r="Q30" s="132"/>
      <c r="R30" s="130"/>
      <c r="S30" s="130"/>
      <c r="T30" s="130"/>
    </row>
    <row r="31" spans="1:22" x14ac:dyDescent="0.2">
      <c r="F31" s="85"/>
      <c r="G31" s="134"/>
      <c r="H31" s="85"/>
      <c r="I31" s="92"/>
      <c r="J31" s="85"/>
      <c r="K31" s="92"/>
      <c r="L31" s="85"/>
      <c r="M31" s="92"/>
      <c r="O31" s="135"/>
      <c r="P31" s="135"/>
      <c r="Q31" s="132"/>
      <c r="R31" s="130"/>
      <c r="S31" s="130"/>
      <c r="T31" s="130"/>
    </row>
    <row r="32" spans="1:22" ht="16" customHeight="1" x14ac:dyDescent="0.2">
      <c r="F32" s="93" t="s">
        <v>30</v>
      </c>
      <c r="G32" s="133">
        <v>6</v>
      </c>
      <c r="H32" s="93" t="s">
        <v>30</v>
      </c>
      <c r="I32" s="91">
        <v>3</v>
      </c>
      <c r="J32" s="93" t="s">
        <v>30</v>
      </c>
      <c r="K32" s="91">
        <v>8</v>
      </c>
      <c r="L32" s="93" t="s">
        <v>30</v>
      </c>
      <c r="M32" s="91">
        <v>9</v>
      </c>
      <c r="O32" s="131" t="s">
        <v>30</v>
      </c>
      <c r="P32" s="131"/>
      <c r="Q32" s="132" t="s">
        <v>34</v>
      </c>
      <c r="R32" s="130" t="s">
        <v>35</v>
      </c>
      <c r="S32" s="130"/>
      <c r="T32" s="130"/>
    </row>
    <row r="33" spans="6:20" x14ac:dyDescent="0.2">
      <c r="F33" s="94"/>
      <c r="G33" s="137"/>
      <c r="H33" s="94"/>
      <c r="I33" s="92"/>
      <c r="J33" s="94"/>
      <c r="K33" s="92"/>
      <c r="L33" s="94"/>
      <c r="M33" s="92"/>
      <c r="O33" s="131"/>
      <c r="P33" s="131"/>
      <c r="Q33" s="132"/>
      <c r="R33" s="130"/>
      <c r="S33" s="130"/>
      <c r="T33" s="130"/>
    </row>
    <row r="34" spans="6:20" x14ac:dyDescent="0.2">
      <c r="F34" s="86" t="s">
        <v>31</v>
      </c>
      <c r="G34" s="91">
        <v>3</v>
      </c>
      <c r="H34" s="86" t="s">
        <v>31</v>
      </c>
      <c r="I34" s="91">
        <v>7</v>
      </c>
      <c r="J34" s="86" t="s">
        <v>31</v>
      </c>
      <c r="K34" s="91">
        <v>1</v>
      </c>
      <c r="L34" s="86" t="s">
        <v>31</v>
      </c>
      <c r="M34" s="91">
        <v>5</v>
      </c>
      <c r="O34" s="131"/>
      <c r="P34" s="131"/>
      <c r="Q34" s="132"/>
      <c r="R34" s="130"/>
      <c r="S34" s="130"/>
      <c r="T34" s="130"/>
    </row>
    <row r="35" spans="6:20" ht="16" customHeight="1" x14ac:dyDescent="0.2">
      <c r="F35" s="87"/>
      <c r="G35" s="92"/>
      <c r="H35" s="87"/>
      <c r="I35" s="92"/>
      <c r="J35" s="87"/>
      <c r="K35" s="92"/>
      <c r="L35" s="87"/>
      <c r="M35" s="92"/>
      <c r="O35" s="136" t="s">
        <v>31</v>
      </c>
      <c r="P35" s="136"/>
      <c r="Q35" s="132" t="s">
        <v>34</v>
      </c>
      <c r="R35" s="130" t="s">
        <v>37</v>
      </c>
      <c r="S35" s="130"/>
      <c r="T35" s="130"/>
    </row>
    <row r="36" spans="6:20" x14ac:dyDescent="0.2">
      <c r="O36" s="136"/>
      <c r="P36" s="136"/>
      <c r="Q36" s="132"/>
      <c r="R36" s="130"/>
      <c r="S36" s="130"/>
      <c r="T36" s="130"/>
    </row>
    <row r="37" spans="6:20" x14ac:dyDescent="0.2">
      <c r="O37" s="136"/>
      <c r="P37" s="136"/>
      <c r="Q37" s="132"/>
      <c r="R37" s="130"/>
      <c r="S37" s="130"/>
      <c r="T37" s="130"/>
    </row>
  </sheetData>
  <mergeCells count="132">
    <mergeCell ref="E6:E7"/>
    <mergeCell ref="F6:F7"/>
    <mergeCell ref="G6:G7"/>
    <mergeCell ref="A1:E5"/>
    <mergeCell ref="F4:G5"/>
    <mergeCell ref="H4:I5"/>
    <mergeCell ref="J4:K5"/>
    <mergeCell ref="L4:M5"/>
    <mergeCell ref="T6:V7"/>
    <mergeCell ref="L6:L7"/>
    <mergeCell ref="M6:M7"/>
    <mergeCell ref="N6:P7"/>
    <mergeCell ref="Q6:Q7"/>
    <mergeCell ref="R6:R7"/>
    <mergeCell ref="S6:S7"/>
    <mergeCell ref="H6:H7"/>
    <mergeCell ref="I6:I7"/>
    <mergeCell ref="J6:J7"/>
    <mergeCell ref="K6:K7"/>
    <mergeCell ref="A6:A7"/>
    <mergeCell ref="B6:B7"/>
    <mergeCell ref="C6:C7"/>
    <mergeCell ref="D6:D7"/>
    <mergeCell ref="F1:M3"/>
    <mergeCell ref="A8:A11"/>
    <mergeCell ref="B8:B11"/>
    <mergeCell ref="C8:C11"/>
    <mergeCell ref="D8:D9"/>
    <mergeCell ref="N8:P8"/>
    <mergeCell ref="Q8:S8"/>
    <mergeCell ref="T8:V11"/>
    <mergeCell ref="Q9:Q11"/>
    <mergeCell ref="R9:R11"/>
    <mergeCell ref="S9:S11"/>
    <mergeCell ref="D10:D11"/>
    <mergeCell ref="N10:N11"/>
    <mergeCell ref="O10:O11"/>
    <mergeCell ref="P10:P11"/>
    <mergeCell ref="A12:A15"/>
    <mergeCell ref="B12:B15"/>
    <mergeCell ref="C12:C15"/>
    <mergeCell ref="D12:D13"/>
    <mergeCell ref="N12:P12"/>
    <mergeCell ref="Q12:S12"/>
    <mergeCell ref="T12:V15"/>
    <mergeCell ref="Q13:Q15"/>
    <mergeCell ref="R13:R15"/>
    <mergeCell ref="S13:S15"/>
    <mergeCell ref="D14:D15"/>
    <mergeCell ref="N14:N15"/>
    <mergeCell ref="O14:O15"/>
    <mergeCell ref="P14:P15"/>
    <mergeCell ref="D18:D19"/>
    <mergeCell ref="N18:N19"/>
    <mergeCell ref="O18:O19"/>
    <mergeCell ref="P18:P19"/>
    <mergeCell ref="A16:A19"/>
    <mergeCell ref="B16:B19"/>
    <mergeCell ref="C16:C19"/>
    <mergeCell ref="D16:D17"/>
    <mergeCell ref="N16:P16"/>
    <mergeCell ref="D26:D27"/>
    <mergeCell ref="N26:N27"/>
    <mergeCell ref="J34:J35"/>
    <mergeCell ref="A24:A27"/>
    <mergeCell ref="B24:B27"/>
    <mergeCell ref="C24:C27"/>
    <mergeCell ref="D24:D25"/>
    <mergeCell ref="N24:P24"/>
    <mergeCell ref="T20:V23"/>
    <mergeCell ref="Q21:Q23"/>
    <mergeCell ref="R21:R23"/>
    <mergeCell ref="S21:S23"/>
    <mergeCell ref="D22:D23"/>
    <mergeCell ref="N22:N23"/>
    <mergeCell ref="O22:O23"/>
    <mergeCell ref="P22:P23"/>
    <mergeCell ref="A20:A23"/>
    <mergeCell ref="B20:B23"/>
    <mergeCell ref="C20:C23"/>
    <mergeCell ref="D20:D21"/>
    <mergeCell ref="N20:P20"/>
    <mergeCell ref="Q20:S20"/>
    <mergeCell ref="T24:V27"/>
    <mergeCell ref="Q25:Q27"/>
    <mergeCell ref="O35:P37"/>
    <mergeCell ref="Q35:Q37"/>
    <mergeCell ref="R32:T34"/>
    <mergeCell ref="R35:T37"/>
    <mergeCell ref="L32:L33"/>
    <mergeCell ref="M32:M33"/>
    <mergeCell ref="O26:O27"/>
    <mergeCell ref="P26:P27"/>
    <mergeCell ref="F32:F33"/>
    <mergeCell ref="G32:G33"/>
    <mergeCell ref="F34:F35"/>
    <mergeCell ref="G34:G35"/>
    <mergeCell ref="H34:H35"/>
    <mergeCell ref="I34:I35"/>
    <mergeCell ref="H32:H33"/>
    <mergeCell ref="I32:I33"/>
    <mergeCell ref="J32:J33"/>
    <mergeCell ref="K32:K33"/>
    <mergeCell ref="K34:K35"/>
    <mergeCell ref="L34:L35"/>
    <mergeCell ref="M34:M35"/>
    <mergeCell ref="R25:R27"/>
    <mergeCell ref="S25:S27"/>
    <mergeCell ref="Q4:S5"/>
    <mergeCell ref="F28:G29"/>
    <mergeCell ref="H28:I29"/>
    <mergeCell ref="J28:K29"/>
    <mergeCell ref="L28:M29"/>
    <mergeCell ref="R29:T31"/>
    <mergeCell ref="O32:P34"/>
    <mergeCell ref="Q32:Q34"/>
    <mergeCell ref="F30:F31"/>
    <mergeCell ref="G30:G31"/>
    <mergeCell ref="H30:H31"/>
    <mergeCell ref="I30:I31"/>
    <mergeCell ref="J30:J31"/>
    <mergeCell ref="K30:K31"/>
    <mergeCell ref="L30:L31"/>
    <mergeCell ref="M30:M31"/>
    <mergeCell ref="O29:P31"/>
    <mergeCell ref="Q29:Q31"/>
    <mergeCell ref="Q24:S24"/>
    <mergeCell ref="T16:V19"/>
    <mergeCell ref="Q17:Q19"/>
    <mergeCell ref="R17:R19"/>
    <mergeCell ref="S17:S19"/>
    <mergeCell ref="Q16:S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E27E-05C4-F343-8CF8-827C91FCFD8A}">
  <dimension ref="A1:W32"/>
  <sheetViews>
    <sheetView topLeftCell="G1" workbookViewId="0">
      <selection activeCell="R15" sqref="R15:R16"/>
    </sheetView>
  </sheetViews>
  <sheetFormatPr baseColWidth="10" defaultRowHeight="16" x14ac:dyDescent="0.2"/>
  <sheetData>
    <row r="1" spans="1:23" x14ac:dyDescent="0.2">
      <c r="C1" s="31"/>
      <c r="D1" s="126" t="s">
        <v>6</v>
      </c>
      <c r="E1" s="111"/>
      <c r="F1" s="126" t="s">
        <v>7</v>
      </c>
      <c r="G1" s="111"/>
      <c r="H1" s="126" t="s">
        <v>8</v>
      </c>
      <c r="I1" s="111"/>
      <c r="J1" s="126" t="s">
        <v>9</v>
      </c>
      <c r="K1" s="111"/>
      <c r="L1" s="28"/>
      <c r="M1" s="28"/>
      <c r="N1" s="28"/>
      <c r="O1" s="28"/>
      <c r="P1" s="28"/>
      <c r="Q1" s="28"/>
    </row>
    <row r="2" spans="1:23" x14ac:dyDescent="0.2">
      <c r="C2" s="31"/>
      <c r="D2" s="127"/>
      <c r="E2" s="113"/>
      <c r="F2" s="127"/>
      <c r="G2" s="113"/>
      <c r="H2" s="127"/>
      <c r="I2" s="113"/>
      <c r="J2" s="127"/>
      <c r="K2" s="113"/>
      <c r="L2" s="28"/>
      <c r="M2" s="28"/>
      <c r="N2" s="28"/>
      <c r="O2" s="28"/>
      <c r="P2" s="28"/>
      <c r="Q2" s="28"/>
    </row>
    <row r="3" spans="1:23" x14ac:dyDescent="0.2">
      <c r="A3" s="97" t="s">
        <v>50</v>
      </c>
      <c r="B3" s="97" t="s">
        <v>13</v>
      </c>
      <c r="C3" s="97" t="s">
        <v>14</v>
      </c>
      <c r="D3" s="97" t="s">
        <v>11</v>
      </c>
      <c r="E3" s="97" t="s">
        <v>22</v>
      </c>
      <c r="F3" s="97" t="s">
        <v>11</v>
      </c>
      <c r="G3" s="97" t="s">
        <v>22</v>
      </c>
      <c r="H3" s="97" t="s">
        <v>11</v>
      </c>
      <c r="I3" s="97" t="s">
        <v>22</v>
      </c>
      <c r="J3" s="97" t="s">
        <v>11</v>
      </c>
      <c r="K3" s="97" t="s">
        <v>22</v>
      </c>
      <c r="L3" s="140" t="s">
        <v>32</v>
      </c>
      <c r="M3" s="138"/>
      <c r="N3" s="138"/>
      <c r="O3" s="138"/>
      <c r="P3" s="138"/>
      <c r="Q3" s="138"/>
    </row>
    <row r="4" spans="1:23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140"/>
      <c r="M4" s="138"/>
      <c r="N4" s="138"/>
      <c r="O4" s="138"/>
      <c r="P4" s="138"/>
      <c r="Q4" s="138"/>
    </row>
    <row r="5" spans="1:23" x14ac:dyDescent="0.2">
      <c r="A5" s="148" t="s">
        <v>41</v>
      </c>
      <c r="B5" s="119" t="s">
        <v>15</v>
      </c>
      <c r="C5" s="1" t="s">
        <v>16</v>
      </c>
      <c r="D5" s="13">
        <v>0.93</v>
      </c>
      <c r="E5" s="10">
        <v>0.99</v>
      </c>
      <c r="F5" s="13">
        <v>0.87</v>
      </c>
      <c r="G5" s="10">
        <v>0.99</v>
      </c>
      <c r="H5" s="13">
        <v>0.72</v>
      </c>
      <c r="I5" s="10">
        <v>0.99</v>
      </c>
      <c r="J5" s="18">
        <v>0.94</v>
      </c>
      <c r="K5" s="7" t="s">
        <v>19</v>
      </c>
      <c r="L5" s="114" t="s">
        <v>1</v>
      </c>
      <c r="M5" s="115"/>
      <c r="N5" s="115"/>
      <c r="O5" s="115"/>
      <c r="P5" s="115"/>
      <c r="Q5" s="116"/>
    </row>
    <row r="6" spans="1:23" x14ac:dyDescent="0.2">
      <c r="A6" s="148"/>
      <c r="B6" s="119"/>
      <c r="C6" s="1" t="s">
        <v>17</v>
      </c>
      <c r="D6" s="14">
        <v>0.89</v>
      </c>
      <c r="E6" s="11">
        <v>0.9</v>
      </c>
      <c r="F6" s="14">
        <v>0.8</v>
      </c>
      <c r="G6" s="11">
        <v>0.9</v>
      </c>
      <c r="H6" s="17">
        <v>0.65</v>
      </c>
      <c r="I6" s="4" t="s">
        <v>19</v>
      </c>
      <c r="J6" s="14">
        <v>0.92</v>
      </c>
      <c r="K6" s="22">
        <v>0.99</v>
      </c>
      <c r="L6" s="166" t="s">
        <v>29</v>
      </c>
      <c r="M6" s="167"/>
      <c r="N6" s="99" t="s">
        <v>30</v>
      </c>
      <c r="O6" s="165"/>
      <c r="P6" s="74" t="s">
        <v>31</v>
      </c>
      <c r="Q6" s="75"/>
    </row>
    <row r="7" spans="1:23" x14ac:dyDescent="0.2">
      <c r="A7" s="148"/>
      <c r="B7" s="119" t="s">
        <v>18</v>
      </c>
      <c r="C7" s="1" t="s">
        <v>16</v>
      </c>
      <c r="D7" s="14">
        <v>0.92</v>
      </c>
      <c r="E7" s="11">
        <v>0.99</v>
      </c>
      <c r="F7" s="14">
        <v>0.85</v>
      </c>
      <c r="G7" s="11">
        <v>0.99</v>
      </c>
      <c r="H7" s="14">
        <v>0.7</v>
      </c>
      <c r="I7" s="11">
        <v>0.99</v>
      </c>
      <c r="J7" s="14">
        <v>0.93</v>
      </c>
      <c r="K7" s="22">
        <v>0.9</v>
      </c>
      <c r="L7" s="88">
        <v>11</v>
      </c>
      <c r="M7" s="88">
        <f>(11/16)*100</f>
        <v>68.75</v>
      </c>
      <c r="N7" s="88">
        <v>5</v>
      </c>
      <c r="O7" s="91">
        <f>(5/16)*100</f>
        <v>31.25</v>
      </c>
      <c r="P7" s="90">
        <v>0</v>
      </c>
      <c r="Q7" s="91">
        <f>0/16</f>
        <v>0</v>
      </c>
    </row>
    <row r="8" spans="1:23" ht="17" thickBot="1" x14ac:dyDescent="0.25">
      <c r="A8" s="148"/>
      <c r="B8" s="119"/>
      <c r="C8" s="1" t="s">
        <v>17</v>
      </c>
      <c r="D8" s="16">
        <v>0.87</v>
      </c>
      <c r="E8" s="9" t="s">
        <v>19</v>
      </c>
      <c r="F8" s="15">
        <v>0.77</v>
      </c>
      <c r="G8" s="9">
        <v>0.9</v>
      </c>
      <c r="H8" s="16">
        <v>0.64</v>
      </c>
      <c r="I8" s="8" t="s">
        <v>19</v>
      </c>
      <c r="J8" s="16">
        <v>0.91</v>
      </c>
      <c r="K8" s="9" t="s">
        <v>19</v>
      </c>
      <c r="L8" s="108"/>
      <c r="M8" s="108"/>
      <c r="N8" s="108"/>
      <c r="O8" s="109"/>
      <c r="P8" s="78"/>
      <c r="Q8" s="109"/>
    </row>
    <row r="9" spans="1:23" x14ac:dyDescent="0.2">
      <c r="A9" s="148" t="s">
        <v>44</v>
      </c>
      <c r="B9" s="119" t="s">
        <v>15</v>
      </c>
      <c r="C9" s="1" t="s">
        <v>16</v>
      </c>
      <c r="D9" s="13">
        <v>0.91</v>
      </c>
      <c r="E9" s="10">
        <v>0.9</v>
      </c>
      <c r="F9" s="13">
        <v>0.76</v>
      </c>
      <c r="G9" s="12">
        <v>9.9000000000000008E-3</v>
      </c>
      <c r="H9" s="13">
        <v>0.6</v>
      </c>
      <c r="I9" s="10">
        <v>0.9</v>
      </c>
      <c r="J9" s="18">
        <v>0.95</v>
      </c>
      <c r="K9" s="41" t="s">
        <v>19</v>
      </c>
      <c r="L9" s="161" t="s">
        <v>2</v>
      </c>
      <c r="M9" s="162"/>
      <c r="N9" s="162"/>
      <c r="O9" s="162"/>
      <c r="P9" s="162"/>
      <c r="Q9" s="163"/>
      <c r="R9" s="46"/>
      <c r="S9" s="46"/>
      <c r="T9" s="46"/>
      <c r="U9" s="46"/>
      <c r="V9" s="46"/>
      <c r="W9" s="47"/>
    </row>
    <row r="10" spans="1:23" x14ac:dyDescent="0.2">
      <c r="A10" s="148"/>
      <c r="B10" s="119"/>
      <c r="C10" s="1" t="s">
        <v>17</v>
      </c>
      <c r="D10" s="17">
        <v>0.87</v>
      </c>
      <c r="E10" s="4" t="s">
        <v>19</v>
      </c>
      <c r="F10" s="17">
        <v>0.66</v>
      </c>
      <c r="G10" s="4" t="s">
        <v>19</v>
      </c>
      <c r="H10" s="14">
        <v>0.54</v>
      </c>
      <c r="I10" s="11">
        <v>0.9</v>
      </c>
      <c r="J10" s="19">
        <v>0.94</v>
      </c>
      <c r="K10" s="22">
        <v>0.99</v>
      </c>
      <c r="L10" s="164" t="s">
        <v>29</v>
      </c>
      <c r="M10" s="142"/>
      <c r="N10" s="143" t="s">
        <v>30</v>
      </c>
      <c r="O10" s="144"/>
      <c r="P10" s="145" t="s">
        <v>31</v>
      </c>
      <c r="Q10" s="156"/>
      <c r="R10" s="141" t="s">
        <v>29</v>
      </c>
      <c r="S10" s="142"/>
      <c r="T10" s="143" t="s">
        <v>30</v>
      </c>
      <c r="U10" s="144"/>
      <c r="V10" s="145" t="s">
        <v>31</v>
      </c>
      <c r="W10" s="146"/>
    </row>
    <row r="11" spans="1:23" x14ac:dyDescent="0.2">
      <c r="A11" s="148"/>
      <c r="B11" s="119" t="s">
        <v>18</v>
      </c>
      <c r="C11" s="1" t="s">
        <v>16</v>
      </c>
      <c r="D11" s="19">
        <v>0.9</v>
      </c>
      <c r="E11" s="11">
        <v>0.99</v>
      </c>
      <c r="F11" s="19">
        <v>0.75</v>
      </c>
      <c r="G11" s="11">
        <v>0.9</v>
      </c>
      <c r="H11" s="17">
        <v>0.59</v>
      </c>
      <c r="I11" s="4" t="s">
        <v>19</v>
      </c>
      <c r="J11" s="19">
        <v>0.94</v>
      </c>
      <c r="K11" s="22">
        <v>0.99</v>
      </c>
      <c r="L11" s="152">
        <v>4</v>
      </c>
      <c r="M11" s="133">
        <f>(4/16)*100</f>
        <v>25</v>
      </c>
      <c r="N11" s="88">
        <v>8</v>
      </c>
      <c r="O11" s="133">
        <f>(8/16)*100</f>
        <v>50</v>
      </c>
      <c r="P11" s="133">
        <v>4</v>
      </c>
      <c r="Q11" s="133">
        <f>(P11/16)*100</f>
        <v>25</v>
      </c>
      <c r="R11" s="88">
        <f>SUM(L7,L11,L15)</f>
        <v>21</v>
      </c>
      <c r="S11" s="133">
        <f>(R11/48)*100</f>
        <v>43.75</v>
      </c>
      <c r="T11" s="88">
        <f>SUM(N7,N11,N15)</f>
        <v>15</v>
      </c>
      <c r="U11" s="133">
        <f>(T11/48)*100</f>
        <v>31.25</v>
      </c>
      <c r="V11" s="88">
        <f>SUM(P7,P11,P15)</f>
        <v>12</v>
      </c>
      <c r="W11" s="133">
        <f>(V11/48)*100</f>
        <v>25</v>
      </c>
    </row>
    <row r="12" spans="1:23" x14ac:dyDescent="0.2">
      <c r="A12" s="148"/>
      <c r="B12" s="119"/>
      <c r="C12" s="1" t="s">
        <v>17</v>
      </c>
      <c r="D12" s="16">
        <v>0.85</v>
      </c>
      <c r="E12" s="8" t="s">
        <v>19</v>
      </c>
      <c r="F12" s="16">
        <v>0.63</v>
      </c>
      <c r="G12" s="8" t="s">
        <v>19</v>
      </c>
      <c r="H12" s="16">
        <v>0.49</v>
      </c>
      <c r="I12" s="8" t="s">
        <v>19</v>
      </c>
      <c r="J12" s="16">
        <v>0.93</v>
      </c>
      <c r="K12" s="42" t="s">
        <v>19</v>
      </c>
      <c r="L12" s="160"/>
      <c r="M12" s="134"/>
      <c r="N12" s="89"/>
      <c r="O12" s="134"/>
      <c r="P12" s="134"/>
      <c r="Q12" s="134"/>
      <c r="R12" s="89"/>
      <c r="S12" s="134"/>
      <c r="T12" s="89"/>
      <c r="U12" s="134"/>
      <c r="V12" s="89"/>
      <c r="W12" s="134"/>
    </row>
    <row r="13" spans="1:23" x14ac:dyDescent="0.2">
      <c r="A13" s="148" t="s">
        <v>45</v>
      </c>
      <c r="B13" s="119" t="s">
        <v>15</v>
      </c>
      <c r="C13" s="1" t="s">
        <v>16</v>
      </c>
      <c r="D13" s="13">
        <v>0.92</v>
      </c>
      <c r="E13" s="10">
        <v>0.99</v>
      </c>
      <c r="F13" s="13">
        <v>0.83</v>
      </c>
      <c r="G13" s="10">
        <v>0.9</v>
      </c>
      <c r="H13" s="13">
        <v>0.68</v>
      </c>
      <c r="I13" s="10">
        <v>0.9</v>
      </c>
      <c r="J13" s="13">
        <v>0.95</v>
      </c>
      <c r="K13" s="43">
        <v>0.9</v>
      </c>
      <c r="L13" s="149" t="s">
        <v>3</v>
      </c>
      <c r="M13" s="150"/>
      <c r="N13" s="150"/>
      <c r="O13" s="150"/>
      <c r="P13" s="150"/>
      <c r="Q13" s="151"/>
      <c r="W13" s="48"/>
    </row>
    <row r="14" spans="1:23" x14ac:dyDescent="0.2">
      <c r="A14" s="148"/>
      <c r="B14" s="119"/>
      <c r="C14" s="1" t="s">
        <v>17</v>
      </c>
      <c r="D14" s="14">
        <v>0.89</v>
      </c>
      <c r="E14" s="11">
        <v>0.99</v>
      </c>
      <c r="F14" s="17">
        <v>0.77</v>
      </c>
      <c r="G14" s="4" t="s">
        <v>19</v>
      </c>
      <c r="H14" s="14">
        <v>0.65</v>
      </c>
      <c r="I14" s="11">
        <v>0.9</v>
      </c>
      <c r="J14" s="19">
        <v>0.92</v>
      </c>
      <c r="K14" s="22">
        <v>0.99</v>
      </c>
      <c r="L14" s="49" t="s">
        <v>29</v>
      </c>
      <c r="M14" s="39"/>
      <c r="N14" s="24" t="s">
        <v>30</v>
      </c>
      <c r="O14" s="40"/>
      <c r="P14" s="145" t="s">
        <v>31</v>
      </c>
      <c r="Q14" s="156"/>
      <c r="R14" s="141" t="s">
        <v>29</v>
      </c>
      <c r="S14" s="142"/>
      <c r="T14" s="143" t="s">
        <v>30</v>
      </c>
      <c r="U14" s="144"/>
      <c r="V14" s="145" t="s">
        <v>31</v>
      </c>
      <c r="W14" s="146"/>
    </row>
    <row r="15" spans="1:23" x14ac:dyDescent="0.2">
      <c r="A15" s="148"/>
      <c r="B15" s="119" t="s">
        <v>18</v>
      </c>
      <c r="C15" s="1" t="s">
        <v>16</v>
      </c>
      <c r="D15" s="19">
        <v>0.91</v>
      </c>
      <c r="E15" s="11">
        <v>0.99</v>
      </c>
      <c r="F15" s="19">
        <v>0.82</v>
      </c>
      <c r="G15" s="11">
        <v>0.99</v>
      </c>
      <c r="H15" s="17">
        <v>0.68</v>
      </c>
      <c r="I15" s="4" t="s">
        <v>19</v>
      </c>
      <c r="J15" s="19">
        <v>0.93</v>
      </c>
      <c r="K15" s="22">
        <v>0.99</v>
      </c>
      <c r="L15" s="152">
        <v>6</v>
      </c>
      <c r="M15" s="133">
        <f>(L15/16)*100</f>
        <v>37.5</v>
      </c>
      <c r="N15" s="88">
        <v>2</v>
      </c>
      <c r="O15" s="133">
        <f>(N15/16)*100</f>
        <v>12.5</v>
      </c>
      <c r="P15" s="137">
        <v>8</v>
      </c>
      <c r="Q15" s="137">
        <f>(P15/16)*100</f>
        <v>50</v>
      </c>
      <c r="R15" s="88">
        <f>SUM(L11,L15,L19)</f>
        <v>15</v>
      </c>
      <c r="S15" s="133">
        <f>(R15/48)*100</f>
        <v>31.25</v>
      </c>
      <c r="T15" s="88">
        <f>SUM(N11,N15,N19)</f>
        <v>17</v>
      </c>
      <c r="U15" s="133">
        <f>(T15/48)*100</f>
        <v>35.416666666666671</v>
      </c>
      <c r="V15" s="88">
        <f>SUM(P11,P15,P19)</f>
        <v>16</v>
      </c>
      <c r="W15" s="133">
        <f>(V15/48)*100</f>
        <v>33.333333333333329</v>
      </c>
    </row>
    <row r="16" spans="1:23" x14ac:dyDescent="0.2">
      <c r="A16" s="148"/>
      <c r="B16" s="119"/>
      <c r="C16" s="1" t="s">
        <v>17</v>
      </c>
      <c r="D16" s="20">
        <v>0.87</v>
      </c>
      <c r="E16" s="9">
        <v>0.99</v>
      </c>
      <c r="F16" s="20">
        <v>0.75</v>
      </c>
      <c r="G16" s="9">
        <v>0.99</v>
      </c>
      <c r="H16" s="20">
        <v>0.62</v>
      </c>
      <c r="I16" s="9">
        <v>0.9</v>
      </c>
      <c r="J16" s="20">
        <v>0.91</v>
      </c>
      <c r="K16" s="44">
        <v>0.99</v>
      </c>
      <c r="L16" s="160"/>
      <c r="M16" s="134"/>
      <c r="N16" s="89"/>
      <c r="O16" s="134"/>
      <c r="P16" s="134"/>
      <c r="Q16" s="134"/>
      <c r="R16" s="89"/>
      <c r="S16" s="134"/>
      <c r="T16" s="89"/>
      <c r="U16" s="134"/>
      <c r="V16" s="89"/>
      <c r="W16" s="134"/>
    </row>
    <row r="17" spans="1:23" x14ac:dyDescent="0.2">
      <c r="A17" s="148" t="s">
        <v>46</v>
      </c>
      <c r="B17" s="119" t="s">
        <v>15</v>
      </c>
      <c r="C17" s="1" t="s">
        <v>16</v>
      </c>
      <c r="D17" s="13">
        <v>0.72</v>
      </c>
      <c r="E17" s="10">
        <v>0.99</v>
      </c>
      <c r="F17" s="21">
        <v>0.11</v>
      </c>
      <c r="G17" s="10">
        <v>0.99</v>
      </c>
      <c r="H17" s="13">
        <v>0.05</v>
      </c>
      <c r="I17" s="10">
        <v>0.99</v>
      </c>
      <c r="J17" s="18">
        <v>0.99</v>
      </c>
      <c r="K17" s="41" t="s">
        <v>19</v>
      </c>
      <c r="L17" s="149" t="s">
        <v>4</v>
      </c>
      <c r="M17" s="150"/>
      <c r="N17" s="150"/>
      <c r="O17" s="150"/>
      <c r="P17" s="150"/>
      <c r="Q17" s="151"/>
      <c r="W17" s="48"/>
    </row>
    <row r="18" spans="1:23" x14ac:dyDescent="0.2">
      <c r="A18" s="148"/>
      <c r="B18" s="119"/>
      <c r="C18" s="1" t="s">
        <v>17</v>
      </c>
      <c r="D18" s="17">
        <v>0.61</v>
      </c>
      <c r="E18" s="4" t="s">
        <v>19</v>
      </c>
      <c r="F18" s="19">
        <v>0.15</v>
      </c>
      <c r="G18" s="11">
        <v>0.99</v>
      </c>
      <c r="H18" s="17">
        <v>7.0000000000000007E-2</v>
      </c>
      <c r="I18" s="4" t="s">
        <v>19</v>
      </c>
      <c r="J18" s="17">
        <v>0.98</v>
      </c>
      <c r="K18" s="45" t="s">
        <v>19</v>
      </c>
      <c r="L18" s="49" t="s">
        <v>29</v>
      </c>
      <c r="M18" s="23"/>
      <c r="N18" s="24" t="s">
        <v>30</v>
      </c>
      <c r="O18" s="24"/>
      <c r="P18" s="145" t="s">
        <v>31</v>
      </c>
      <c r="Q18" s="156"/>
      <c r="W18" s="48"/>
    </row>
    <row r="19" spans="1:23" x14ac:dyDescent="0.2">
      <c r="A19" s="148"/>
      <c r="B19" s="119" t="s">
        <v>18</v>
      </c>
      <c r="C19" s="1" t="s">
        <v>16</v>
      </c>
      <c r="D19" s="14">
        <v>0.69</v>
      </c>
      <c r="E19" s="11">
        <v>0.99</v>
      </c>
      <c r="F19" s="19">
        <v>0.1</v>
      </c>
      <c r="G19" s="11">
        <v>0.99</v>
      </c>
      <c r="H19" s="17">
        <v>0.04</v>
      </c>
      <c r="I19" s="4" t="s">
        <v>19</v>
      </c>
      <c r="J19" s="17">
        <v>0.99</v>
      </c>
      <c r="K19" s="45" t="s">
        <v>19</v>
      </c>
      <c r="L19" s="152">
        <v>5</v>
      </c>
      <c r="M19" s="133">
        <f>(L19/16)*100</f>
        <v>31.25</v>
      </c>
      <c r="N19" s="88">
        <v>7</v>
      </c>
      <c r="O19" s="133">
        <f>(N19/16)*100</f>
        <v>43.75</v>
      </c>
      <c r="P19" s="137">
        <v>4</v>
      </c>
      <c r="Q19" s="133">
        <f>(P19/16)*100</f>
        <v>25</v>
      </c>
      <c r="W19" s="48"/>
    </row>
    <row r="20" spans="1:23" ht="17" thickBot="1" x14ac:dyDescent="0.25">
      <c r="A20" s="148"/>
      <c r="B20" s="119"/>
      <c r="C20" s="1" t="s">
        <v>17</v>
      </c>
      <c r="D20" s="15">
        <v>0.63</v>
      </c>
      <c r="E20" s="9">
        <v>0.99</v>
      </c>
      <c r="F20" s="20">
        <v>0.11</v>
      </c>
      <c r="G20" s="9">
        <v>0.99</v>
      </c>
      <c r="H20" s="15">
        <v>0.02</v>
      </c>
      <c r="I20" s="9">
        <v>0.99</v>
      </c>
      <c r="J20" s="16">
        <v>0.99</v>
      </c>
      <c r="K20" s="42" t="s">
        <v>19</v>
      </c>
      <c r="L20" s="153"/>
      <c r="M20" s="155"/>
      <c r="N20" s="154"/>
      <c r="O20" s="155"/>
      <c r="P20" s="155"/>
      <c r="Q20" s="155"/>
      <c r="R20" s="50"/>
      <c r="S20" s="50"/>
      <c r="T20" s="50"/>
      <c r="U20" s="50"/>
      <c r="V20" s="50"/>
      <c r="W20" s="51"/>
    </row>
    <row r="21" spans="1:23" x14ac:dyDescent="0.2">
      <c r="A21" s="147" t="s">
        <v>47</v>
      </c>
      <c r="B21" s="120" t="s">
        <v>15</v>
      </c>
      <c r="C21" s="5" t="s">
        <v>16</v>
      </c>
      <c r="D21" s="14">
        <v>0.92</v>
      </c>
      <c r="E21" s="11">
        <v>0.99</v>
      </c>
      <c r="F21" s="14">
        <v>0.63</v>
      </c>
      <c r="G21" s="11">
        <v>0.99</v>
      </c>
      <c r="H21" s="17">
        <v>0.39</v>
      </c>
      <c r="I21" s="11" t="s">
        <v>19</v>
      </c>
      <c r="J21" s="14">
        <v>0.99</v>
      </c>
      <c r="K21" s="11">
        <v>0.99</v>
      </c>
      <c r="L21" s="157" t="s">
        <v>5</v>
      </c>
      <c r="M21" s="158"/>
      <c r="N21" s="158"/>
      <c r="O21" s="158"/>
      <c r="P21" s="158"/>
      <c r="Q21" s="159"/>
    </row>
    <row r="22" spans="1:23" x14ac:dyDescent="0.2">
      <c r="A22" s="148"/>
      <c r="B22" s="119"/>
      <c r="C22" s="1" t="s">
        <v>17</v>
      </c>
      <c r="D22" s="17">
        <v>0.85</v>
      </c>
      <c r="E22" s="11" t="s">
        <v>19</v>
      </c>
      <c r="F22" s="14">
        <v>0.49</v>
      </c>
      <c r="G22" s="11">
        <v>0.99</v>
      </c>
      <c r="H22" s="14">
        <v>0.35</v>
      </c>
      <c r="I22" s="11">
        <v>0.99</v>
      </c>
      <c r="J22" s="17">
        <v>0.99</v>
      </c>
      <c r="K22" s="4" t="s">
        <v>19</v>
      </c>
      <c r="L22" s="23" t="s">
        <v>29</v>
      </c>
      <c r="M22" s="23"/>
      <c r="N22" s="24" t="s">
        <v>30</v>
      </c>
      <c r="O22" s="24"/>
      <c r="P22" s="145" t="s">
        <v>31</v>
      </c>
      <c r="Q22" s="156"/>
    </row>
    <row r="23" spans="1:23" x14ac:dyDescent="0.2">
      <c r="A23" s="148"/>
      <c r="B23" s="119" t="s">
        <v>18</v>
      </c>
      <c r="C23" s="1" t="s">
        <v>16</v>
      </c>
      <c r="D23" s="14">
        <v>0.88</v>
      </c>
      <c r="E23" s="11">
        <v>0.99</v>
      </c>
      <c r="F23" s="14">
        <v>0.6</v>
      </c>
      <c r="G23" s="11">
        <v>0.99</v>
      </c>
      <c r="H23" s="14">
        <v>0.33</v>
      </c>
      <c r="I23" s="11">
        <v>0.9</v>
      </c>
      <c r="J23" s="14">
        <v>0.99</v>
      </c>
      <c r="K23" s="11">
        <v>0.9</v>
      </c>
      <c r="L23" s="88">
        <v>12</v>
      </c>
      <c r="M23" s="133">
        <f>(L23/16)*100</f>
        <v>75</v>
      </c>
      <c r="N23" s="88">
        <v>4</v>
      </c>
      <c r="O23" s="133">
        <f>(N23/16)*100</f>
        <v>25</v>
      </c>
      <c r="P23" s="137">
        <v>0</v>
      </c>
      <c r="Q23" s="133">
        <f>(P23/16)*100</f>
        <v>0</v>
      </c>
    </row>
    <row r="24" spans="1:23" x14ac:dyDescent="0.2">
      <c r="A24" s="148"/>
      <c r="B24" s="119"/>
      <c r="C24" s="1" t="s">
        <v>17</v>
      </c>
      <c r="D24" s="16">
        <v>0.78</v>
      </c>
      <c r="E24" s="8" t="s">
        <v>19</v>
      </c>
      <c r="F24" s="15">
        <v>0.39</v>
      </c>
      <c r="G24" s="9">
        <v>0.99</v>
      </c>
      <c r="H24" s="15">
        <v>0.24</v>
      </c>
      <c r="I24" s="9">
        <v>0.99</v>
      </c>
      <c r="J24" s="15">
        <v>0.99</v>
      </c>
      <c r="K24" s="9">
        <v>0.9</v>
      </c>
      <c r="L24" s="89"/>
      <c r="M24" s="134"/>
      <c r="N24" s="89"/>
      <c r="O24" s="134"/>
      <c r="P24" s="134"/>
      <c r="Q24" s="134"/>
    </row>
    <row r="25" spans="1:23" x14ac:dyDescent="0.2">
      <c r="D25" s="126" t="s">
        <v>25</v>
      </c>
      <c r="E25" s="111"/>
      <c r="F25" s="126" t="s">
        <v>26</v>
      </c>
      <c r="G25" s="111"/>
      <c r="H25" s="126" t="s">
        <v>27</v>
      </c>
      <c r="I25" s="111"/>
      <c r="J25" s="126" t="s">
        <v>28</v>
      </c>
      <c r="K25" s="111"/>
    </row>
    <row r="26" spans="1:23" x14ac:dyDescent="0.2">
      <c r="D26" s="127"/>
      <c r="E26" s="113"/>
      <c r="F26" s="127"/>
      <c r="G26" s="113"/>
      <c r="H26" s="127"/>
      <c r="I26" s="113"/>
      <c r="J26" s="127"/>
      <c r="K26" s="113"/>
    </row>
    <row r="27" spans="1:23" x14ac:dyDescent="0.2">
      <c r="D27" s="84" t="s">
        <v>29</v>
      </c>
      <c r="E27" s="133">
        <v>11</v>
      </c>
      <c r="F27" s="84" t="s">
        <v>29</v>
      </c>
      <c r="G27" s="91">
        <v>10</v>
      </c>
      <c r="H27" s="84" t="s">
        <v>29</v>
      </c>
      <c r="I27" s="91">
        <v>11</v>
      </c>
      <c r="J27" s="84" t="s">
        <v>29</v>
      </c>
      <c r="K27" s="91">
        <v>6</v>
      </c>
      <c r="P27" t="s">
        <v>51</v>
      </c>
    </row>
    <row r="28" spans="1:23" x14ac:dyDescent="0.2">
      <c r="D28" s="85"/>
      <c r="E28" s="134"/>
      <c r="F28" s="85"/>
      <c r="G28" s="92"/>
      <c r="H28" s="85"/>
      <c r="I28" s="92"/>
      <c r="J28" s="85"/>
      <c r="K28" s="92"/>
      <c r="P28" t="s">
        <v>52</v>
      </c>
    </row>
    <row r="29" spans="1:23" x14ac:dyDescent="0.2">
      <c r="D29" s="93" t="s">
        <v>30</v>
      </c>
      <c r="E29" s="133">
        <v>6</v>
      </c>
      <c r="F29" s="93" t="s">
        <v>30</v>
      </c>
      <c r="G29" s="91">
        <v>3</v>
      </c>
      <c r="H29" s="93" t="s">
        <v>30</v>
      </c>
      <c r="I29" s="133">
        <v>8</v>
      </c>
      <c r="J29" s="93" t="s">
        <v>30</v>
      </c>
      <c r="K29" s="91">
        <v>9</v>
      </c>
    </row>
    <row r="30" spans="1:23" x14ac:dyDescent="0.2">
      <c r="D30" s="94"/>
      <c r="E30" s="137"/>
      <c r="F30" s="94"/>
      <c r="G30" s="92"/>
      <c r="H30" s="94"/>
      <c r="I30" s="134"/>
      <c r="J30" s="94"/>
      <c r="K30" s="92"/>
    </row>
    <row r="31" spans="1:23" x14ac:dyDescent="0.2">
      <c r="D31" s="86" t="s">
        <v>31</v>
      </c>
      <c r="E31" s="91">
        <v>3</v>
      </c>
      <c r="F31" s="86" t="s">
        <v>31</v>
      </c>
      <c r="G31" s="91">
        <v>7</v>
      </c>
      <c r="H31" s="86" t="s">
        <v>31</v>
      </c>
      <c r="I31" s="91">
        <v>1</v>
      </c>
      <c r="J31" s="86" t="s">
        <v>31</v>
      </c>
      <c r="K31" s="91">
        <v>5</v>
      </c>
    </row>
    <row r="32" spans="1:23" x14ac:dyDescent="0.2">
      <c r="D32" s="87"/>
      <c r="E32" s="92"/>
      <c r="F32" s="87"/>
      <c r="G32" s="92"/>
      <c r="H32" s="87"/>
      <c r="I32" s="92"/>
      <c r="J32" s="87"/>
      <c r="K32" s="92"/>
    </row>
  </sheetData>
  <mergeCells count="121">
    <mergeCell ref="D1:E2"/>
    <mergeCell ref="F1:G2"/>
    <mergeCell ref="H1:I2"/>
    <mergeCell ref="J1:K2"/>
    <mergeCell ref="A3:A4"/>
    <mergeCell ref="B3:B4"/>
    <mergeCell ref="C3:C4"/>
    <mergeCell ref="D3:D4"/>
    <mergeCell ref="E3:E4"/>
    <mergeCell ref="F3:F4"/>
    <mergeCell ref="A5:A8"/>
    <mergeCell ref="B5:B6"/>
    <mergeCell ref="L5:Q5"/>
    <mergeCell ref="B7:B8"/>
    <mergeCell ref="L7:L8"/>
    <mergeCell ref="N7:N8"/>
    <mergeCell ref="P7:P8"/>
    <mergeCell ref="G3:G4"/>
    <mergeCell ref="H3:H4"/>
    <mergeCell ref="I3:I4"/>
    <mergeCell ref="J3:J4"/>
    <mergeCell ref="K3:K4"/>
    <mergeCell ref="L3:Q4"/>
    <mergeCell ref="Q7:Q8"/>
    <mergeCell ref="P6:Q6"/>
    <mergeCell ref="N6:O6"/>
    <mergeCell ref="L6:M6"/>
    <mergeCell ref="M7:M8"/>
    <mergeCell ref="O7:O8"/>
    <mergeCell ref="A13:A16"/>
    <mergeCell ref="B13:B14"/>
    <mergeCell ref="L13:Q13"/>
    <mergeCell ref="B15:B16"/>
    <mergeCell ref="L15:L16"/>
    <mergeCell ref="N15:N16"/>
    <mergeCell ref="P15:P16"/>
    <mergeCell ref="A9:A12"/>
    <mergeCell ref="B9:B10"/>
    <mergeCell ref="L9:Q9"/>
    <mergeCell ref="B11:B12"/>
    <mergeCell ref="L11:L12"/>
    <mergeCell ref="N11:N12"/>
    <mergeCell ref="P11:P12"/>
    <mergeCell ref="Q11:Q12"/>
    <mergeCell ref="P10:Q10"/>
    <mergeCell ref="L10:M10"/>
    <mergeCell ref="M11:M12"/>
    <mergeCell ref="O11:O12"/>
    <mergeCell ref="P14:Q14"/>
    <mergeCell ref="N10:O10"/>
    <mergeCell ref="Q15:Q16"/>
    <mergeCell ref="O15:O16"/>
    <mergeCell ref="M15:M16"/>
    <mergeCell ref="A21:A24"/>
    <mergeCell ref="B21:B22"/>
    <mergeCell ref="B23:B24"/>
    <mergeCell ref="L23:L24"/>
    <mergeCell ref="N23:N24"/>
    <mergeCell ref="P23:P24"/>
    <mergeCell ref="A17:A20"/>
    <mergeCell ref="B17:B18"/>
    <mergeCell ref="L17:Q17"/>
    <mergeCell ref="B19:B20"/>
    <mergeCell ref="L19:L20"/>
    <mergeCell ref="N19:N20"/>
    <mergeCell ref="P19:P20"/>
    <mergeCell ref="Q23:Q24"/>
    <mergeCell ref="O23:O24"/>
    <mergeCell ref="M23:M24"/>
    <mergeCell ref="P22:Q22"/>
    <mergeCell ref="P18:Q18"/>
    <mergeCell ref="L21:Q21"/>
    <mergeCell ref="Q19:Q20"/>
    <mergeCell ref="O19:O20"/>
    <mergeCell ref="M19:M20"/>
    <mergeCell ref="D25:E26"/>
    <mergeCell ref="F25:G26"/>
    <mergeCell ref="H25:I26"/>
    <mergeCell ref="J25:K26"/>
    <mergeCell ref="D27:D28"/>
    <mergeCell ref="E27:E28"/>
    <mergeCell ref="F27:F28"/>
    <mergeCell ref="G27:G28"/>
    <mergeCell ref="H27:H28"/>
    <mergeCell ref="I27:I28"/>
    <mergeCell ref="D31:D32"/>
    <mergeCell ref="E31:E32"/>
    <mergeCell ref="F31:F32"/>
    <mergeCell ref="G31:G32"/>
    <mergeCell ref="H31:H32"/>
    <mergeCell ref="I31:I32"/>
    <mergeCell ref="J27:J28"/>
    <mergeCell ref="K27:K28"/>
    <mergeCell ref="D29:D30"/>
    <mergeCell ref="E29:E30"/>
    <mergeCell ref="F29:F30"/>
    <mergeCell ref="G29:G30"/>
    <mergeCell ref="H29:H30"/>
    <mergeCell ref="I29:I30"/>
    <mergeCell ref="J29:J30"/>
    <mergeCell ref="K29:K30"/>
    <mergeCell ref="J31:J32"/>
    <mergeCell ref="K31:K32"/>
    <mergeCell ref="R14:S14"/>
    <mergeCell ref="T14:U14"/>
    <mergeCell ref="V14:W14"/>
    <mergeCell ref="R15:R16"/>
    <mergeCell ref="S15:S16"/>
    <mergeCell ref="T15:T16"/>
    <mergeCell ref="U15:U16"/>
    <mergeCell ref="V15:V16"/>
    <mergeCell ref="W15:W16"/>
    <mergeCell ref="R10:S10"/>
    <mergeCell ref="T10:U10"/>
    <mergeCell ref="V10:W10"/>
    <mergeCell ref="R11:R12"/>
    <mergeCell ref="S11:S12"/>
    <mergeCell ref="T11:T12"/>
    <mergeCell ref="U11:U12"/>
    <mergeCell ref="V11:V12"/>
    <mergeCell ref="W11:W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3142-4109-9845-A8AC-7C1130B99DD7}">
  <dimension ref="A1:N32"/>
  <sheetViews>
    <sheetView workbookViewId="0"/>
  </sheetViews>
  <sheetFormatPr baseColWidth="10" defaultRowHeight="16" x14ac:dyDescent="0.2"/>
  <sheetData>
    <row r="1" spans="1:14" x14ac:dyDescent="0.2">
      <c r="C1" s="31"/>
      <c r="D1" s="126" t="s">
        <v>6</v>
      </c>
      <c r="E1" s="111"/>
      <c r="F1" s="126" t="s">
        <v>7</v>
      </c>
      <c r="G1" s="111"/>
      <c r="H1" s="126" t="s">
        <v>8</v>
      </c>
      <c r="I1" s="111"/>
      <c r="J1" s="126" t="s">
        <v>9</v>
      </c>
      <c r="K1" s="111"/>
      <c r="L1" s="28"/>
      <c r="M1" s="28"/>
      <c r="N1" s="28"/>
    </row>
    <row r="2" spans="1:14" x14ac:dyDescent="0.2">
      <c r="C2" s="31"/>
      <c r="D2" s="127"/>
      <c r="E2" s="113"/>
      <c r="F2" s="127"/>
      <c r="G2" s="113"/>
      <c r="H2" s="127"/>
      <c r="I2" s="113"/>
      <c r="J2" s="127"/>
      <c r="K2" s="113"/>
      <c r="L2" s="28"/>
      <c r="M2" s="28"/>
      <c r="N2" s="28"/>
    </row>
    <row r="3" spans="1:14" x14ac:dyDescent="0.2">
      <c r="A3" s="97" t="s">
        <v>50</v>
      </c>
      <c r="B3" s="97" t="s">
        <v>13</v>
      </c>
      <c r="C3" s="97" t="s">
        <v>14</v>
      </c>
      <c r="D3" s="97" t="s">
        <v>11</v>
      </c>
      <c r="E3" s="97" t="s">
        <v>22</v>
      </c>
      <c r="F3" s="97" t="s">
        <v>11</v>
      </c>
      <c r="G3" s="97" t="s">
        <v>22</v>
      </c>
      <c r="H3" s="97" t="s">
        <v>11</v>
      </c>
      <c r="I3" s="97" t="s">
        <v>22</v>
      </c>
      <c r="J3" s="97" t="s">
        <v>11</v>
      </c>
      <c r="K3" s="97" t="s">
        <v>22</v>
      </c>
      <c r="L3" s="97" t="s">
        <v>32</v>
      </c>
      <c r="M3" s="97"/>
      <c r="N3" s="97"/>
    </row>
    <row r="4" spans="1:14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4" x14ac:dyDescent="0.2">
      <c r="A5" s="148" t="s">
        <v>41</v>
      </c>
      <c r="B5" s="119" t="s">
        <v>15</v>
      </c>
      <c r="C5" s="1" t="s">
        <v>16</v>
      </c>
      <c r="D5" s="32">
        <v>0.93</v>
      </c>
      <c r="E5" s="10">
        <v>0.99</v>
      </c>
      <c r="F5" s="32">
        <v>0.87</v>
      </c>
      <c r="G5" s="10">
        <v>0.99</v>
      </c>
      <c r="H5" s="32">
        <v>0.72</v>
      </c>
      <c r="I5" s="10">
        <v>0.99</v>
      </c>
      <c r="J5" s="32">
        <v>0.94</v>
      </c>
      <c r="K5" s="7" t="s">
        <v>19</v>
      </c>
      <c r="L5" s="95" t="s">
        <v>1</v>
      </c>
      <c r="M5" s="95"/>
      <c r="N5" s="95"/>
    </row>
    <row r="6" spans="1:14" x14ac:dyDescent="0.2">
      <c r="A6" s="148"/>
      <c r="B6" s="119"/>
      <c r="C6" s="1" t="s">
        <v>17</v>
      </c>
      <c r="D6">
        <v>0.89</v>
      </c>
      <c r="E6" s="11">
        <v>0.9</v>
      </c>
      <c r="F6">
        <v>0.8</v>
      </c>
      <c r="G6" s="11">
        <v>0.9</v>
      </c>
      <c r="H6">
        <v>0.65</v>
      </c>
      <c r="I6" s="4" t="s">
        <v>19</v>
      </c>
      <c r="J6">
        <v>0.92</v>
      </c>
      <c r="K6" s="22">
        <v>0.99</v>
      </c>
      <c r="L6" s="33" t="s">
        <v>29</v>
      </c>
      <c r="M6" s="33" t="s">
        <v>30</v>
      </c>
      <c r="N6" s="33" t="s">
        <v>31</v>
      </c>
    </row>
    <row r="7" spans="1:14" x14ac:dyDescent="0.2">
      <c r="A7" s="148"/>
      <c r="B7" s="119" t="s">
        <v>18</v>
      </c>
      <c r="C7" s="1" t="s">
        <v>16</v>
      </c>
      <c r="D7">
        <v>0.92</v>
      </c>
      <c r="E7" s="11">
        <v>0.99</v>
      </c>
      <c r="F7">
        <v>0.85</v>
      </c>
      <c r="G7" s="11">
        <v>0.99</v>
      </c>
      <c r="H7">
        <v>0.7</v>
      </c>
      <c r="I7" s="11">
        <v>0.99</v>
      </c>
      <c r="J7">
        <v>0.93</v>
      </c>
      <c r="K7" s="22">
        <v>0.9</v>
      </c>
      <c r="L7" s="88">
        <v>11</v>
      </c>
      <c r="M7" s="88">
        <v>5</v>
      </c>
      <c r="N7" s="133">
        <v>0</v>
      </c>
    </row>
    <row r="8" spans="1:14" x14ac:dyDescent="0.2">
      <c r="A8" s="148"/>
      <c r="B8" s="119"/>
      <c r="C8" s="1" t="s">
        <v>17</v>
      </c>
      <c r="D8" s="34">
        <v>0.87</v>
      </c>
      <c r="E8" s="9" t="s">
        <v>19</v>
      </c>
      <c r="F8" s="34">
        <v>0.77</v>
      </c>
      <c r="G8" s="9">
        <v>0.9</v>
      </c>
      <c r="H8" s="34">
        <v>0.64</v>
      </c>
      <c r="I8" s="8" t="s">
        <v>19</v>
      </c>
      <c r="J8" s="34">
        <v>0.91</v>
      </c>
      <c r="K8" s="9" t="s">
        <v>19</v>
      </c>
      <c r="L8" s="89"/>
      <c r="M8" s="89"/>
      <c r="N8" s="134"/>
    </row>
    <row r="9" spans="1:14" x14ac:dyDescent="0.2">
      <c r="A9" s="148" t="s">
        <v>44</v>
      </c>
      <c r="B9" s="119" t="s">
        <v>15</v>
      </c>
      <c r="C9" s="1" t="s">
        <v>16</v>
      </c>
      <c r="D9" s="32">
        <v>0.91</v>
      </c>
      <c r="E9" s="10">
        <v>0.9</v>
      </c>
      <c r="F9" s="32">
        <v>0.76</v>
      </c>
      <c r="G9" s="12">
        <v>9.9000000000000008E-3</v>
      </c>
      <c r="H9" s="32">
        <v>0.6</v>
      </c>
      <c r="I9" s="10">
        <v>0.9</v>
      </c>
      <c r="J9" s="32">
        <v>0.95</v>
      </c>
      <c r="K9" s="7" t="s">
        <v>19</v>
      </c>
      <c r="L9" s="95" t="s">
        <v>2</v>
      </c>
      <c r="M9" s="95"/>
      <c r="N9" s="95"/>
    </row>
    <row r="10" spans="1:14" x14ac:dyDescent="0.2">
      <c r="A10" s="148"/>
      <c r="B10" s="119"/>
      <c r="C10" s="1" t="s">
        <v>17</v>
      </c>
      <c r="D10">
        <v>0.87</v>
      </c>
      <c r="E10" s="4" t="s">
        <v>19</v>
      </c>
      <c r="F10">
        <v>0.66</v>
      </c>
      <c r="G10" s="4" t="s">
        <v>19</v>
      </c>
      <c r="H10">
        <v>0.54</v>
      </c>
      <c r="I10" s="11">
        <v>0.9</v>
      </c>
      <c r="J10">
        <v>0.94</v>
      </c>
      <c r="K10" s="11">
        <v>0.99</v>
      </c>
      <c r="L10" s="33" t="s">
        <v>29</v>
      </c>
      <c r="M10" s="33" t="s">
        <v>30</v>
      </c>
      <c r="N10" s="33" t="s">
        <v>31</v>
      </c>
    </row>
    <row r="11" spans="1:14" x14ac:dyDescent="0.2">
      <c r="A11" s="148"/>
      <c r="B11" s="119" t="s">
        <v>18</v>
      </c>
      <c r="C11" s="1" t="s">
        <v>16</v>
      </c>
      <c r="D11">
        <v>0.9</v>
      </c>
      <c r="E11" s="11">
        <v>0.99</v>
      </c>
      <c r="F11">
        <v>0.75</v>
      </c>
      <c r="G11" s="11">
        <v>0.9</v>
      </c>
      <c r="H11">
        <v>0.59</v>
      </c>
      <c r="I11" s="4" t="s">
        <v>19</v>
      </c>
      <c r="J11">
        <v>0.94</v>
      </c>
      <c r="K11" s="11">
        <v>0.99</v>
      </c>
      <c r="L11" s="88">
        <v>4</v>
      </c>
      <c r="M11" s="88">
        <v>8</v>
      </c>
      <c r="N11" s="133">
        <v>4</v>
      </c>
    </row>
    <row r="12" spans="1:14" x14ac:dyDescent="0.2">
      <c r="A12" s="148"/>
      <c r="B12" s="119"/>
      <c r="C12" s="1" t="s">
        <v>17</v>
      </c>
      <c r="D12" s="34">
        <v>0.85</v>
      </c>
      <c r="E12" s="8" t="s">
        <v>19</v>
      </c>
      <c r="F12" s="34">
        <v>0.63</v>
      </c>
      <c r="G12" s="8" t="s">
        <v>19</v>
      </c>
      <c r="H12" s="34">
        <v>0.49</v>
      </c>
      <c r="I12" s="8" t="s">
        <v>19</v>
      </c>
      <c r="J12" s="34">
        <v>0.93</v>
      </c>
      <c r="K12" s="8" t="s">
        <v>19</v>
      </c>
      <c r="L12" s="89"/>
      <c r="M12" s="89"/>
      <c r="N12" s="134"/>
    </row>
    <row r="13" spans="1:14" x14ac:dyDescent="0.2">
      <c r="A13" s="148" t="s">
        <v>45</v>
      </c>
      <c r="B13" s="119" t="s">
        <v>15</v>
      </c>
      <c r="C13" s="1" t="s">
        <v>16</v>
      </c>
      <c r="D13" s="32">
        <v>0.92</v>
      </c>
      <c r="E13" s="10">
        <v>0.99</v>
      </c>
      <c r="F13" s="32">
        <v>0.83</v>
      </c>
      <c r="G13" s="10">
        <v>0.9</v>
      </c>
      <c r="H13" s="32">
        <v>0.68</v>
      </c>
      <c r="I13" s="10">
        <v>0.9</v>
      </c>
      <c r="J13" s="32">
        <v>0.95</v>
      </c>
      <c r="K13" s="10">
        <v>0.9</v>
      </c>
      <c r="L13" s="95" t="s">
        <v>3</v>
      </c>
      <c r="M13" s="95"/>
      <c r="N13" s="95"/>
    </row>
    <row r="14" spans="1:14" x14ac:dyDescent="0.2">
      <c r="A14" s="148"/>
      <c r="B14" s="119"/>
      <c r="C14" s="1" t="s">
        <v>17</v>
      </c>
      <c r="D14">
        <v>0.89</v>
      </c>
      <c r="E14" s="11">
        <v>0.99</v>
      </c>
      <c r="F14">
        <v>0.77</v>
      </c>
      <c r="G14" s="4" t="s">
        <v>19</v>
      </c>
      <c r="H14">
        <v>0.65</v>
      </c>
      <c r="I14" s="11">
        <v>0.9</v>
      </c>
      <c r="J14">
        <v>0.92</v>
      </c>
      <c r="K14" s="11">
        <v>0.99</v>
      </c>
      <c r="L14" s="33" t="s">
        <v>29</v>
      </c>
      <c r="M14" s="33" t="s">
        <v>30</v>
      </c>
      <c r="N14" s="33" t="s">
        <v>31</v>
      </c>
    </row>
    <row r="15" spans="1:14" x14ac:dyDescent="0.2">
      <c r="A15" s="148"/>
      <c r="B15" s="119" t="s">
        <v>18</v>
      </c>
      <c r="C15" s="1" t="s">
        <v>16</v>
      </c>
      <c r="D15">
        <v>0.91</v>
      </c>
      <c r="E15" s="11">
        <v>0.99</v>
      </c>
      <c r="F15">
        <v>0.82</v>
      </c>
      <c r="G15" s="11">
        <v>0.99</v>
      </c>
      <c r="H15">
        <v>0.68</v>
      </c>
      <c r="I15" s="4" t="s">
        <v>19</v>
      </c>
      <c r="J15">
        <v>0.93</v>
      </c>
      <c r="K15" s="11">
        <v>0.99</v>
      </c>
      <c r="L15" s="88">
        <v>6</v>
      </c>
      <c r="M15" s="88">
        <v>2</v>
      </c>
      <c r="N15" s="133">
        <v>8</v>
      </c>
    </row>
    <row r="16" spans="1:14" x14ac:dyDescent="0.2">
      <c r="A16" s="148"/>
      <c r="B16" s="119"/>
      <c r="C16" s="1" t="s">
        <v>17</v>
      </c>
      <c r="D16" s="34">
        <v>0.87</v>
      </c>
      <c r="E16" s="9">
        <v>0.99</v>
      </c>
      <c r="F16" s="34">
        <v>0.75</v>
      </c>
      <c r="G16" s="9">
        <v>0.99</v>
      </c>
      <c r="H16" s="34">
        <v>0.62</v>
      </c>
      <c r="I16" s="9">
        <v>0.9</v>
      </c>
      <c r="J16" s="34">
        <v>0.91</v>
      </c>
      <c r="K16" s="9">
        <v>0.99</v>
      </c>
      <c r="L16" s="89"/>
      <c r="M16" s="89"/>
      <c r="N16" s="134"/>
    </row>
    <row r="17" spans="1:14" x14ac:dyDescent="0.2">
      <c r="A17" s="148" t="s">
        <v>46</v>
      </c>
      <c r="B17" s="119" t="s">
        <v>15</v>
      </c>
      <c r="C17" s="1" t="s">
        <v>16</v>
      </c>
      <c r="D17" s="32">
        <v>0.72</v>
      </c>
      <c r="E17" s="10">
        <v>0.99</v>
      </c>
      <c r="F17" s="32">
        <v>0.11</v>
      </c>
      <c r="G17" s="10">
        <v>0.99</v>
      </c>
      <c r="H17" s="32">
        <v>0.05</v>
      </c>
      <c r="I17" s="10">
        <v>0.99</v>
      </c>
      <c r="J17" s="32">
        <v>0.99</v>
      </c>
      <c r="K17" s="7" t="s">
        <v>19</v>
      </c>
      <c r="L17" s="95" t="s">
        <v>4</v>
      </c>
      <c r="M17" s="95"/>
      <c r="N17" s="95"/>
    </row>
    <row r="18" spans="1:14" x14ac:dyDescent="0.2">
      <c r="A18" s="148"/>
      <c r="B18" s="119"/>
      <c r="C18" s="1" t="s">
        <v>17</v>
      </c>
      <c r="D18">
        <v>0.61</v>
      </c>
      <c r="E18" s="4" t="s">
        <v>19</v>
      </c>
      <c r="F18">
        <v>0.15</v>
      </c>
      <c r="G18" s="11">
        <v>0.99</v>
      </c>
      <c r="H18">
        <v>7.0000000000000007E-2</v>
      </c>
      <c r="I18" s="4" t="s">
        <v>19</v>
      </c>
      <c r="J18">
        <v>0.98</v>
      </c>
      <c r="K18" s="4" t="s">
        <v>19</v>
      </c>
      <c r="L18" s="33" t="s">
        <v>29</v>
      </c>
      <c r="M18" s="33" t="s">
        <v>30</v>
      </c>
      <c r="N18" s="33" t="s">
        <v>31</v>
      </c>
    </row>
    <row r="19" spans="1:14" x14ac:dyDescent="0.2">
      <c r="A19" s="148"/>
      <c r="B19" s="119" t="s">
        <v>18</v>
      </c>
      <c r="C19" s="1" t="s">
        <v>16</v>
      </c>
      <c r="D19">
        <v>0.69</v>
      </c>
      <c r="E19" s="11">
        <v>0.99</v>
      </c>
      <c r="F19">
        <v>0.1</v>
      </c>
      <c r="G19" s="11">
        <v>0.99</v>
      </c>
      <c r="H19">
        <v>0.04</v>
      </c>
      <c r="I19" s="4" t="s">
        <v>19</v>
      </c>
      <c r="J19">
        <v>0.99</v>
      </c>
      <c r="K19" s="4" t="s">
        <v>19</v>
      </c>
      <c r="L19" s="88">
        <v>5</v>
      </c>
      <c r="M19" s="88">
        <v>7</v>
      </c>
      <c r="N19" s="133">
        <v>4</v>
      </c>
    </row>
    <row r="20" spans="1:14" x14ac:dyDescent="0.2">
      <c r="A20" s="148"/>
      <c r="B20" s="119"/>
      <c r="C20" s="1" t="s">
        <v>17</v>
      </c>
      <c r="D20" s="34">
        <v>0.63</v>
      </c>
      <c r="E20" s="9">
        <v>0.99</v>
      </c>
      <c r="F20" s="34">
        <v>0.11</v>
      </c>
      <c r="G20" s="9">
        <v>0.99</v>
      </c>
      <c r="H20" s="34">
        <v>0.02</v>
      </c>
      <c r="I20" s="9">
        <v>0.99</v>
      </c>
      <c r="J20" s="34">
        <v>0.99</v>
      </c>
      <c r="K20" s="8" t="s">
        <v>19</v>
      </c>
      <c r="L20" s="89"/>
      <c r="M20" s="89"/>
      <c r="N20" s="134"/>
    </row>
    <row r="21" spans="1:14" x14ac:dyDescent="0.2">
      <c r="A21" s="147" t="s">
        <v>47</v>
      </c>
      <c r="B21" s="120" t="s">
        <v>15</v>
      </c>
      <c r="C21" s="5" t="s">
        <v>16</v>
      </c>
      <c r="D21">
        <v>0.92</v>
      </c>
      <c r="E21" s="11">
        <v>0.99</v>
      </c>
      <c r="F21">
        <v>0.63</v>
      </c>
      <c r="G21" s="11">
        <v>0.99</v>
      </c>
      <c r="H21">
        <v>0.39</v>
      </c>
      <c r="I21" s="11" t="s">
        <v>19</v>
      </c>
      <c r="J21">
        <v>0.99</v>
      </c>
      <c r="K21" s="11">
        <v>0.99</v>
      </c>
      <c r="L21" s="95" t="s">
        <v>5</v>
      </c>
      <c r="M21" s="95"/>
      <c r="N21" s="95"/>
    </row>
    <row r="22" spans="1:14" x14ac:dyDescent="0.2">
      <c r="A22" s="148"/>
      <c r="B22" s="119"/>
      <c r="C22" s="1" t="s">
        <v>17</v>
      </c>
      <c r="D22">
        <v>0.85</v>
      </c>
      <c r="E22" s="11" t="s">
        <v>19</v>
      </c>
      <c r="F22">
        <v>0.49</v>
      </c>
      <c r="G22" s="11">
        <v>0.99</v>
      </c>
      <c r="H22">
        <v>0.35</v>
      </c>
      <c r="I22" s="11">
        <v>0.99</v>
      </c>
      <c r="J22">
        <v>0.99</v>
      </c>
      <c r="K22" s="4" t="s">
        <v>19</v>
      </c>
      <c r="L22" s="33" t="s">
        <v>29</v>
      </c>
      <c r="M22" s="33" t="s">
        <v>30</v>
      </c>
      <c r="N22" s="33" t="s">
        <v>31</v>
      </c>
    </row>
    <row r="23" spans="1:14" x14ac:dyDescent="0.2">
      <c r="A23" s="148"/>
      <c r="B23" s="119" t="s">
        <v>18</v>
      </c>
      <c r="C23" s="1" t="s">
        <v>16</v>
      </c>
      <c r="D23">
        <v>0.88</v>
      </c>
      <c r="E23" s="11">
        <v>0.99</v>
      </c>
      <c r="F23">
        <v>0.6</v>
      </c>
      <c r="G23" s="11">
        <v>0.99</v>
      </c>
      <c r="H23">
        <v>0.33</v>
      </c>
      <c r="I23" s="11">
        <v>0.9</v>
      </c>
      <c r="J23">
        <v>0.99</v>
      </c>
      <c r="K23" s="11">
        <v>0.9</v>
      </c>
      <c r="L23" s="88">
        <v>12</v>
      </c>
      <c r="M23" s="88">
        <v>4</v>
      </c>
      <c r="N23" s="133">
        <v>0</v>
      </c>
    </row>
    <row r="24" spans="1:14" x14ac:dyDescent="0.2">
      <c r="A24" s="148"/>
      <c r="B24" s="119"/>
      <c r="C24" s="1" t="s">
        <v>17</v>
      </c>
      <c r="D24" s="34">
        <v>0.78</v>
      </c>
      <c r="E24" s="8" t="s">
        <v>19</v>
      </c>
      <c r="F24" s="34">
        <v>0.39</v>
      </c>
      <c r="G24" s="9">
        <v>0.99</v>
      </c>
      <c r="H24" s="34">
        <v>0.24</v>
      </c>
      <c r="I24" s="9">
        <v>0.99</v>
      </c>
      <c r="J24" s="34">
        <v>0.99</v>
      </c>
      <c r="K24" s="9">
        <v>0.9</v>
      </c>
      <c r="L24" s="89"/>
      <c r="M24" s="89"/>
      <c r="N24" s="134"/>
    </row>
    <row r="25" spans="1:14" x14ac:dyDescent="0.2">
      <c r="D25" s="126" t="s">
        <v>25</v>
      </c>
      <c r="E25" s="111"/>
      <c r="F25" s="126" t="s">
        <v>26</v>
      </c>
      <c r="G25" s="111"/>
      <c r="H25" s="126" t="s">
        <v>27</v>
      </c>
      <c r="I25" s="111"/>
      <c r="J25" s="126" t="s">
        <v>28</v>
      </c>
      <c r="K25" s="111"/>
    </row>
    <row r="26" spans="1:14" x14ac:dyDescent="0.2">
      <c r="D26" s="127"/>
      <c r="E26" s="113"/>
      <c r="F26" s="127"/>
      <c r="G26" s="113"/>
      <c r="H26" s="127"/>
      <c r="I26" s="113"/>
      <c r="J26" s="127"/>
      <c r="K26" s="113"/>
    </row>
    <row r="27" spans="1:14" x14ac:dyDescent="0.2">
      <c r="D27" s="133" t="s">
        <v>29</v>
      </c>
      <c r="E27" s="133">
        <v>11</v>
      </c>
      <c r="F27" s="133" t="s">
        <v>29</v>
      </c>
      <c r="G27" s="91">
        <v>10</v>
      </c>
      <c r="H27" s="133" t="s">
        <v>29</v>
      </c>
      <c r="I27" s="91">
        <v>11</v>
      </c>
      <c r="J27" s="133" t="s">
        <v>29</v>
      </c>
      <c r="K27" s="91">
        <v>6</v>
      </c>
    </row>
    <row r="28" spans="1:14" x14ac:dyDescent="0.2">
      <c r="D28" s="134"/>
      <c r="E28" s="134"/>
      <c r="F28" s="134"/>
      <c r="G28" s="92"/>
      <c r="H28" s="134"/>
      <c r="I28" s="92"/>
      <c r="J28" s="134"/>
      <c r="K28" s="92"/>
    </row>
    <row r="29" spans="1:14" x14ac:dyDescent="0.2">
      <c r="D29" s="133" t="s">
        <v>30</v>
      </c>
      <c r="E29" s="133">
        <v>6</v>
      </c>
      <c r="F29" s="133" t="s">
        <v>30</v>
      </c>
      <c r="G29" s="91">
        <v>3</v>
      </c>
      <c r="H29" s="133" t="s">
        <v>30</v>
      </c>
      <c r="I29" s="133">
        <v>8</v>
      </c>
      <c r="J29" s="133" t="s">
        <v>30</v>
      </c>
      <c r="K29" s="91">
        <v>9</v>
      </c>
    </row>
    <row r="30" spans="1:14" x14ac:dyDescent="0.2">
      <c r="D30" s="134"/>
      <c r="E30" s="137"/>
      <c r="F30" s="134"/>
      <c r="G30" s="92"/>
      <c r="H30" s="134"/>
      <c r="I30" s="134"/>
      <c r="J30" s="134"/>
      <c r="K30" s="92"/>
    </row>
    <row r="31" spans="1:14" x14ac:dyDescent="0.2">
      <c r="D31" s="133" t="s">
        <v>31</v>
      </c>
      <c r="E31" s="91">
        <v>3</v>
      </c>
      <c r="F31" s="133" t="s">
        <v>31</v>
      </c>
      <c r="G31" s="91">
        <v>7</v>
      </c>
      <c r="H31" s="133" t="s">
        <v>31</v>
      </c>
      <c r="I31" s="91">
        <v>1</v>
      </c>
      <c r="J31" s="133" t="s">
        <v>31</v>
      </c>
      <c r="K31" s="91">
        <v>5</v>
      </c>
    </row>
    <row r="32" spans="1:14" x14ac:dyDescent="0.2">
      <c r="D32" s="134"/>
      <c r="E32" s="92"/>
      <c r="F32" s="134"/>
      <c r="G32" s="92"/>
      <c r="H32" s="134"/>
      <c r="I32" s="92"/>
      <c r="J32" s="134"/>
      <c r="K32" s="92"/>
    </row>
  </sheetData>
  <mergeCells count="79">
    <mergeCell ref="A3:A4"/>
    <mergeCell ref="B3:B4"/>
    <mergeCell ref="C3:C4"/>
    <mergeCell ref="D3:D4"/>
    <mergeCell ref="E3:E4"/>
    <mergeCell ref="L3:N4"/>
    <mergeCell ref="D1:E2"/>
    <mergeCell ref="F1:G2"/>
    <mergeCell ref="H1:I2"/>
    <mergeCell ref="J1:K2"/>
    <mergeCell ref="F3:F4"/>
    <mergeCell ref="G3:G4"/>
    <mergeCell ref="H3:H4"/>
    <mergeCell ref="I3:I4"/>
    <mergeCell ref="J3:J4"/>
    <mergeCell ref="K3:K4"/>
    <mergeCell ref="A5:A8"/>
    <mergeCell ref="B5:B6"/>
    <mergeCell ref="L5:N5"/>
    <mergeCell ref="B7:B8"/>
    <mergeCell ref="L7:L8"/>
    <mergeCell ref="M7:M8"/>
    <mergeCell ref="N7:N8"/>
    <mergeCell ref="A9:A12"/>
    <mergeCell ref="B9:B10"/>
    <mergeCell ref="L9:N9"/>
    <mergeCell ref="B11:B12"/>
    <mergeCell ref="L11:L12"/>
    <mergeCell ref="M11:M12"/>
    <mergeCell ref="N11:N12"/>
    <mergeCell ref="A13:A16"/>
    <mergeCell ref="B13:B14"/>
    <mergeCell ref="L13:N13"/>
    <mergeCell ref="B15:B16"/>
    <mergeCell ref="L15:L16"/>
    <mergeCell ref="M15:M16"/>
    <mergeCell ref="N15:N16"/>
    <mergeCell ref="A17:A20"/>
    <mergeCell ref="B17:B18"/>
    <mergeCell ref="L17:N17"/>
    <mergeCell ref="B19:B20"/>
    <mergeCell ref="L19:L20"/>
    <mergeCell ref="M19:M20"/>
    <mergeCell ref="N19:N20"/>
    <mergeCell ref="A21:A24"/>
    <mergeCell ref="B21:B22"/>
    <mergeCell ref="L21:N21"/>
    <mergeCell ref="B23:B24"/>
    <mergeCell ref="L23:L24"/>
    <mergeCell ref="M23:M24"/>
    <mergeCell ref="N23:N24"/>
    <mergeCell ref="D25:E26"/>
    <mergeCell ref="F25:G26"/>
    <mergeCell ref="H25:I26"/>
    <mergeCell ref="J25:K26"/>
    <mergeCell ref="D27:D28"/>
    <mergeCell ref="E27:E28"/>
    <mergeCell ref="F27:F28"/>
    <mergeCell ref="G27:G28"/>
    <mergeCell ref="H27:H28"/>
    <mergeCell ref="I27:I28"/>
    <mergeCell ref="J27:J28"/>
    <mergeCell ref="K27:K28"/>
    <mergeCell ref="D29:D30"/>
    <mergeCell ref="E29:E30"/>
    <mergeCell ref="F29:F30"/>
    <mergeCell ref="G29:G30"/>
    <mergeCell ref="H29:H30"/>
    <mergeCell ref="I29:I30"/>
    <mergeCell ref="J29:J30"/>
    <mergeCell ref="K29:K30"/>
    <mergeCell ref="J31:J32"/>
    <mergeCell ref="K31:K32"/>
    <mergeCell ref="I31:I32"/>
    <mergeCell ref="D31:D32"/>
    <mergeCell ref="E31:E32"/>
    <mergeCell ref="F31:F32"/>
    <mergeCell ref="G31:G32"/>
    <mergeCell ref="H31:H3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884F-E865-E143-8C58-B24CC5BE7504}">
  <dimension ref="A2:Q20"/>
  <sheetViews>
    <sheetView workbookViewId="0">
      <selection activeCell="A2" sqref="A2:Q20"/>
    </sheetView>
  </sheetViews>
  <sheetFormatPr baseColWidth="10" defaultRowHeight="16" x14ac:dyDescent="0.2"/>
  <cols>
    <col min="1" max="1" width="12.5" customWidth="1"/>
    <col min="2" max="3" width="9.83203125" customWidth="1"/>
    <col min="4" max="4" width="9.33203125" bestFit="1" customWidth="1"/>
    <col min="5" max="5" width="15.83203125" bestFit="1" customWidth="1"/>
    <col min="6" max="7" width="9.83203125" customWidth="1"/>
    <col min="8" max="8" width="9.33203125" bestFit="1" customWidth="1"/>
    <col min="9" max="9" width="15.83203125" bestFit="1" customWidth="1"/>
    <col min="10" max="11" width="9.83203125" customWidth="1"/>
    <col min="12" max="12" width="9.33203125" bestFit="1" customWidth="1"/>
    <col min="13" max="13" width="15.83203125" bestFit="1" customWidth="1"/>
    <col min="14" max="15" width="9.83203125" customWidth="1"/>
    <col min="16" max="16" width="9.33203125" bestFit="1" customWidth="1"/>
    <col min="17" max="17" width="15.83203125" bestFit="1" customWidth="1"/>
  </cols>
  <sheetData>
    <row r="2" spans="1:17" ht="16" customHeight="1" x14ac:dyDescent="0.25">
      <c r="A2" s="170"/>
      <c r="B2" s="171" t="s">
        <v>6</v>
      </c>
      <c r="C2" s="171"/>
      <c r="D2" s="171"/>
      <c r="E2" s="171"/>
      <c r="F2" s="171" t="s">
        <v>7</v>
      </c>
      <c r="G2" s="171"/>
      <c r="H2" s="171"/>
      <c r="I2" s="171"/>
      <c r="J2" s="171" t="s">
        <v>8</v>
      </c>
      <c r="K2" s="171"/>
      <c r="L2" s="171"/>
      <c r="M2" s="171"/>
      <c r="N2" s="171" t="s">
        <v>9</v>
      </c>
      <c r="O2" s="171"/>
      <c r="P2" s="171"/>
      <c r="Q2" s="171"/>
    </row>
    <row r="3" spans="1:17" ht="16" customHeight="1" x14ac:dyDescent="0.2">
      <c r="A3" s="172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</row>
    <row r="4" spans="1:17" ht="16" customHeight="1" x14ac:dyDescent="0.2">
      <c r="A4" s="171" t="s">
        <v>50</v>
      </c>
      <c r="B4" s="171" t="s">
        <v>49</v>
      </c>
      <c r="C4" s="171" t="s">
        <v>38</v>
      </c>
      <c r="D4" s="171" t="s">
        <v>39</v>
      </c>
      <c r="E4" s="171" t="s">
        <v>40</v>
      </c>
      <c r="F4" s="171" t="s">
        <v>49</v>
      </c>
      <c r="G4" s="171" t="s">
        <v>38</v>
      </c>
      <c r="H4" s="171" t="s">
        <v>39</v>
      </c>
      <c r="I4" s="171" t="s">
        <v>40</v>
      </c>
      <c r="J4" s="171" t="s">
        <v>49</v>
      </c>
      <c r="K4" s="171" t="s">
        <v>38</v>
      </c>
      <c r="L4" s="171" t="s">
        <v>39</v>
      </c>
      <c r="M4" s="171" t="s">
        <v>40</v>
      </c>
      <c r="N4" s="171" t="s">
        <v>49</v>
      </c>
      <c r="O4" s="171" t="s">
        <v>38</v>
      </c>
      <c r="P4" s="171" t="s">
        <v>39</v>
      </c>
      <c r="Q4" s="171" t="s">
        <v>40</v>
      </c>
    </row>
    <row r="5" spans="1:17" ht="16" customHeight="1" x14ac:dyDescent="0.2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x14ac:dyDescent="0.2">
      <c r="A6" s="171" t="s">
        <v>1</v>
      </c>
      <c r="B6" s="168">
        <v>0.87</v>
      </c>
      <c r="C6" s="169">
        <v>0.85</v>
      </c>
      <c r="D6" s="169">
        <v>0.82</v>
      </c>
      <c r="E6" s="169">
        <v>0.84</v>
      </c>
      <c r="F6" s="168">
        <v>0.77</v>
      </c>
      <c r="G6" s="169">
        <v>0.69</v>
      </c>
      <c r="H6" s="169">
        <v>0.67</v>
      </c>
      <c r="I6" s="169">
        <v>0.69</v>
      </c>
      <c r="J6" s="168">
        <v>0.64</v>
      </c>
      <c r="K6" s="169">
        <v>0.63</v>
      </c>
      <c r="L6" s="169">
        <v>0.57999999999999996</v>
      </c>
      <c r="M6" s="169">
        <v>0.62</v>
      </c>
      <c r="N6" s="168">
        <v>0.91</v>
      </c>
      <c r="O6" s="169">
        <v>0.9</v>
      </c>
      <c r="P6" s="169">
        <v>0.9</v>
      </c>
      <c r="Q6" s="169">
        <v>0.9</v>
      </c>
    </row>
    <row r="7" spans="1:17" x14ac:dyDescent="0.2">
      <c r="A7" s="171"/>
      <c r="B7" s="168"/>
      <c r="C7" s="169"/>
      <c r="D7" s="169"/>
      <c r="E7" s="169"/>
      <c r="F7" s="168"/>
      <c r="G7" s="169"/>
      <c r="H7" s="169"/>
      <c r="I7" s="169"/>
      <c r="J7" s="168"/>
      <c r="K7" s="169"/>
      <c r="L7" s="169"/>
      <c r="M7" s="169"/>
      <c r="N7" s="168"/>
      <c r="O7" s="169"/>
      <c r="P7" s="169"/>
      <c r="Q7" s="169"/>
    </row>
    <row r="8" spans="1:17" x14ac:dyDescent="0.2">
      <c r="A8" s="171"/>
      <c r="B8" s="168"/>
      <c r="C8" s="169"/>
      <c r="D8" s="169"/>
      <c r="E8" s="169"/>
      <c r="F8" s="168"/>
      <c r="G8" s="169"/>
      <c r="H8" s="169"/>
      <c r="I8" s="169"/>
      <c r="J8" s="168"/>
      <c r="K8" s="169"/>
      <c r="L8" s="169"/>
      <c r="M8" s="169"/>
      <c r="N8" s="168"/>
      <c r="O8" s="169"/>
      <c r="P8" s="169"/>
      <c r="Q8" s="169"/>
    </row>
    <row r="9" spans="1:17" x14ac:dyDescent="0.2">
      <c r="A9" s="171" t="s">
        <v>2</v>
      </c>
      <c r="B9" s="168">
        <v>0.88</v>
      </c>
      <c r="C9" s="169">
        <v>0.8</v>
      </c>
      <c r="D9" s="169">
        <v>0.69</v>
      </c>
      <c r="E9" s="169">
        <v>0.79</v>
      </c>
      <c r="F9" s="168">
        <v>0.67</v>
      </c>
      <c r="G9" s="169">
        <v>0.5</v>
      </c>
      <c r="H9" s="169">
        <v>0.39</v>
      </c>
      <c r="I9" s="169">
        <v>0.49</v>
      </c>
      <c r="J9" s="168">
        <v>0.54</v>
      </c>
      <c r="K9" s="169">
        <v>0.44</v>
      </c>
      <c r="L9" s="169">
        <v>0.38</v>
      </c>
      <c r="M9" s="169">
        <v>0.44</v>
      </c>
      <c r="N9" s="168">
        <v>0.95</v>
      </c>
      <c r="O9" s="169">
        <v>0.93</v>
      </c>
      <c r="P9" s="169">
        <v>0.9</v>
      </c>
      <c r="Q9" s="169">
        <v>0.93</v>
      </c>
    </row>
    <row r="10" spans="1:17" x14ac:dyDescent="0.2">
      <c r="A10" s="171"/>
      <c r="B10" s="168"/>
      <c r="C10" s="169"/>
      <c r="D10" s="169"/>
      <c r="E10" s="169"/>
      <c r="F10" s="168"/>
      <c r="G10" s="169"/>
      <c r="H10" s="169"/>
      <c r="I10" s="169"/>
      <c r="J10" s="168"/>
      <c r="K10" s="169"/>
      <c r="L10" s="169"/>
      <c r="M10" s="169"/>
      <c r="N10" s="168"/>
      <c r="O10" s="169"/>
      <c r="P10" s="169"/>
      <c r="Q10" s="169"/>
    </row>
    <row r="11" spans="1:17" x14ac:dyDescent="0.2">
      <c r="A11" s="171"/>
      <c r="B11" s="168"/>
      <c r="C11" s="169"/>
      <c r="D11" s="169"/>
      <c r="E11" s="169"/>
      <c r="F11" s="168"/>
      <c r="G11" s="169"/>
      <c r="H11" s="169"/>
      <c r="I11" s="169"/>
      <c r="J11" s="168"/>
      <c r="K11" s="169"/>
      <c r="L11" s="169"/>
      <c r="M11" s="169"/>
      <c r="N11" s="168"/>
      <c r="O11" s="169"/>
      <c r="P11" s="169"/>
      <c r="Q11" s="169"/>
    </row>
    <row r="12" spans="1:17" x14ac:dyDescent="0.2">
      <c r="A12" s="171" t="s">
        <v>3</v>
      </c>
      <c r="B12" s="168">
        <v>0.89</v>
      </c>
      <c r="C12" s="169">
        <v>0.83</v>
      </c>
      <c r="D12" s="169">
        <v>0.83</v>
      </c>
      <c r="E12" s="169">
        <v>0.83</v>
      </c>
      <c r="F12" s="168">
        <v>0.77</v>
      </c>
      <c r="G12" s="169">
        <v>0.66</v>
      </c>
      <c r="H12" s="169">
        <v>0.66</v>
      </c>
      <c r="I12" s="169">
        <v>0.67</v>
      </c>
      <c r="J12" s="168">
        <v>0.65</v>
      </c>
      <c r="K12" s="169">
        <v>0.57999999999999996</v>
      </c>
      <c r="L12" s="169">
        <v>0.6</v>
      </c>
      <c r="M12" s="169">
        <v>0.59</v>
      </c>
      <c r="N12" s="168">
        <v>0.93</v>
      </c>
      <c r="O12" s="169">
        <v>0.9</v>
      </c>
      <c r="P12" s="169">
        <v>0.9</v>
      </c>
      <c r="Q12" s="169">
        <v>0.9</v>
      </c>
    </row>
    <row r="13" spans="1:17" x14ac:dyDescent="0.2">
      <c r="A13" s="171"/>
      <c r="B13" s="168"/>
      <c r="C13" s="169"/>
      <c r="D13" s="169"/>
      <c r="E13" s="169"/>
      <c r="F13" s="168"/>
      <c r="G13" s="169"/>
      <c r="H13" s="169"/>
      <c r="I13" s="169"/>
      <c r="J13" s="168"/>
      <c r="K13" s="169"/>
      <c r="L13" s="169"/>
      <c r="M13" s="169"/>
      <c r="N13" s="168"/>
      <c r="O13" s="169"/>
      <c r="P13" s="169"/>
      <c r="Q13" s="169"/>
    </row>
    <row r="14" spans="1:17" x14ac:dyDescent="0.2">
      <c r="A14" s="171"/>
      <c r="B14" s="168"/>
      <c r="C14" s="169"/>
      <c r="D14" s="169"/>
      <c r="E14" s="169"/>
      <c r="F14" s="168"/>
      <c r="G14" s="169"/>
      <c r="H14" s="169"/>
      <c r="I14" s="169"/>
      <c r="J14" s="168"/>
      <c r="K14" s="169"/>
      <c r="L14" s="169"/>
      <c r="M14" s="169"/>
      <c r="N14" s="168"/>
      <c r="O14" s="169"/>
      <c r="P14" s="169"/>
      <c r="Q14" s="169"/>
    </row>
    <row r="15" spans="1:17" x14ac:dyDescent="0.2">
      <c r="A15" s="171" t="s">
        <v>4</v>
      </c>
      <c r="B15" s="168">
        <v>0.61</v>
      </c>
      <c r="C15" s="169">
        <v>0.52</v>
      </c>
      <c r="D15" s="169">
        <v>0.44</v>
      </c>
      <c r="E15" s="169">
        <v>0.36</v>
      </c>
      <c r="F15" s="168">
        <v>0.15</v>
      </c>
      <c r="G15" s="169">
        <v>0.03</v>
      </c>
      <c r="H15" s="169">
        <v>0.02</v>
      </c>
      <c r="I15" s="169">
        <v>0.02</v>
      </c>
      <c r="J15" s="168">
        <v>7.0000000000000007E-2</v>
      </c>
      <c r="K15" s="169">
        <v>0.02</v>
      </c>
      <c r="L15" s="169">
        <v>0.01</v>
      </c>
      <c r="M15" s="169">
        <v>0.01</v>
      </c>
      <c r="N15" s="168">
        <v>0.98</v>
      </c>
      <c r="O15" s="169">
        <v>0.98</v>
      </c>
      <c r="P15" s="169">
        <v>0.98</v>
      </c>
      <c r="Q15" s="169">
        <v>0.97</v>
      </c>
    </row>
    <row r="16" spans="1:17" x14ac:dyDescent="0.2">
      <c r="A16" s="171"/>
      <c r="B16" s="168"/>
      <c r="C16" s="169"/>
      <c r="D16" s="169"/>
      <c r="E16" s="169"/>
      <c r="F16" s="168"/>
      <c r="G16" s="169"/>
      <c r="H16" s="169"/>
      <c r="I16" s="169"/>
      <c r="J16" s="168"/>
      <c r="K16" s="169"/>
      <c r="L16" s="169"/>
      <c r="M16" s="169"/>
      <c r="N16" s="168"/>
      <c r="O16" s="169"/>
      <c r="P16" s="169"/>
      <c r="Q16" s="169"/>
    </row>
    <row r="17" spans="1:17" x14ac:dyDescent="0.2">
      <c r="A17" s="171"/>
      <c r="B17" s="168"/>
      <c r="C17" s="169"/>
      <c r="D17" s="169"/>
      <c r="E17" s="169"/>
      <c r="F17" s="168"/>
      <c r="G17" s="169"/>
      <c r="H17" s="169"/>
      <c r="I17" s="169"/>
      <c r="J17" s="168"/>
      <c r="K17" s="169"/>
      <c r="L17" s="169"/>
      <c r="M17" s="169"/>
      <c r="N17" s="168"/>
      <c r="O17" s="169"/>
      <c r="P17" s="169"/>
      <c r="Q17" s="169"/>
    </row>
    <row r="18" spans="1:17" x14ac:dyDescent="0.2">
      <c r="A18" s="171" t="s">
        <v>5</v>
      </c>
      <c r="B18" s="168">
        <v>0.85</v>
      </c>
      <c r="C18" s="169">
        <v>0.78</v>
      </c>
      <c r="D18" s="169">
        <v>0.65</v>
      </c>
      <c r="E18" s="169">
        <v>0.81</v>
      </c>
      <c r="F18" s="168">
        <v>0.49</v>
      </c>
      <c r="G18" s="169">
        <v>0.3</v>
      </c>
      <c r="H18" s="169">
        <v>0.1</v>
      </c>
      <c r="I18" s="169">
        <v>0.26</v>
      </c>
      <c r="J18" s="168">
        <v>0.35</v>
      </c>
      <c r="K18" s="169">
        <v>0.23</v>
      </c>
      <c r="L18" s="169">
        <v>0.05</v>
      </c>
      <c r="M18" s="169">
        <v>0.16</v>
      </c>
      <c r="N18" s="168">
        <v>0.99</v>
      </c>
      <c r="O18" s="169">
        <v>0.99</v>
      </c>
      <c r="P18" s="169">
        <v>0.98</v>
      </c>
      <c r="Q18" s="169">
        <v>0.99</v>
      </c>
    </row>
    <row r="19" spans="1:17" x14ac:dyDescent="0.2">
      <c r="A19" s="171"/>
      <c r="B19" s="168"/>
      <c r="C19" s="169"/>
      <c r="D19" s="169"/>
      <c r="E19" s="169"/>
      <c r="F19" s="168"/>
      <c r="G19" s="169"/>
      <c r="H19" s="169"/>
      <c r="I19" s="169"/>
      <c r="J19" s="168"/>
      <c r="K19" s="169"/>
      <c r="L19" s="169"/>
      <c r="M19" s="169"/>
      <c r="N19" s="168"/>
      <c r="O19" s="169"/>
      <c r="P19" s="169"/>
      <c r="Q19" s="169"/>
    </row>
    <row r="20" spans="1:17" x14ac:dyDescent="0.2">
      <c r="A20" s="171"/>
      <c r="B20" s="168"/>
      <c r="C20" s="169"/>
      <c r="D20" s="169"/>
      <c r="E20" s="169"/>
      <c r="F20" s="168"/>
      <c r="G20" s="169"/>
      <c r="H20" s="169"/>
      <c r="I20" s="169"/>
      <c r="J20" s="168"/>
      <c r="K20" s="169"/>
      <c r="L20" s="169"/>
      <c r="M20" s="169"/>
      <c r="N20" s="168"/>
      <c r="O20" s="169"/>
      <c r="P20" s="169"/>
      <c r="Q20" s="169"/>
    </row>
  </sheetData>
  <mergeCells count="106">
    <mergeCell ref="B2:E3"/>
    <mergeCell ref="I6:I8"/>
    <mergeCell ref="F9:F11"/>
    <mergeCell ref="G9:G11"/>
    <mergeCell ref="H9:H11"/>
    <mergeCell ref="I9:I11"/>
    <mergeCell ref="B18:B20"/>
    <mergeCell ref="F2:I3"/>
    <mergeCell ref="F4:F5"/>
    <mergeCell ref="G4:G5"/>
    <mergeCell ref="H4:H5"/>
    <mergeCell ref="I4:I5"/>
    <mergeCell ref="F6:F8"/>
    <mergeCell ref="G6:G8"/>
    <mergeCell ref="H6:H8"/>
    <mergeCell ref="B4:B5"/>
    <mergeCell ref="B6:B8"/>
    <mergeCell ref="B9:B11"/>
    <mergeCell ref="B12:B14"/>
    <mergeCell ref="B15:B17"/>
    <mergeCell ref="C18:C20"/>
    <mergeCell ref="D18:D20"/>
    <mergeCell ref="E18:E20"/>
    <mergeCell ref="C9:C11"/>
    <mergeCell ref="F15:F17"/>
    <mergeCell ref="G15:G17"/>
    <mergeCell ref="H15:H17"/>
    <mergeCell ref="I15:I17"/>
    <mergeCell ref="F18:F20"/>
    <mergeCell ref="G18:G20"/>
    <mergeCell ref="H18:H20"/>
    <mergeCell ref="I18:I20"/>
    <mergeCell ref="F12:F14"/>
    <mergeCell ref="G12:G14"/>
    <mergeCell ref="H12:H14"/>
    <mergeCell ref="I12:I14"/>
    <mergeCell ref="J6:J8"/>
    <mergeCell ref="K6:K8"/>
    <mergeCell ref="L6:L8"/>
    <mergeCell ref="M6:M8"/>
    <mergeCell ref="J9:J11"/>
    <mergeCell ref="K9:K11"/>
    <mergeCell ref="L9:L11"/>
    <mergeCell ref="M9:M11"/>
    <mergeCell ref="J2:M3"/>
    <mergeCell ref="J4:J5"/>
    <mergeCell ref="K4:K5"/>
    <mergeCell ref="L4:L5"/>
    <mergeCell ref="M4:M5"/>
    <mergeCell ref="J15:J17"/>
    <mergeCell ref="K15:K17"/>
    <mergeCell ref="L15:L17"/>
    <mergeCell ref="M15:M17"/>
    <mergeCell ref="J18:J20"/>
    <mergeCell ref="K18:K20"/>
    <mergeCell ref="L18:L20"/>
    <mergeCell ref="M18:M20"/>
    <mergeCell ref="J12:J14"/>
    <mergeCell ref="K12:K14"/>
    <mergeCell ref="L12:L14"/>
    <mergeCell ref="M12:M14"/>
    <mergeCell ref="N6:N8"/>
    <mergeCell ref="O6:O8"/>
    <mergeCell ref="P6:P8"/>
    <mergeCell ref="Q6:Q8"/>
    <mergeCell ref="N9:N11"/>
    <mergeCell ref="O9:O11"/>
    <mergeCell ref="P9:P11"/>
    <mergeCell ref="Q9:Q11"/>
    <mergeCell ref="N2:Q3"/>
    <mergeCell ref="N4:N5"/>
    <mergeCell ref="O4:O5"/>
    <mergeCell ref="P4:P5"/>
    <mergeCell ref="Q4:Q5"/>
    <mergeCell ref="N15:N17"/>
    <mergeCell ref="O15:O17"/>
    <mergeCell ref="P15:P17"/>
    <mergeCell ref="Q15:Q17"/>
    <mergeCell ref="N18:N20"/>
    <mergeCell ref="O18:O20"/>
    <mergeCell ref="P18:P20"/>
    <mergeCell ref="Q18:Q20"/>
    <mergeCell ref="N12:N14"/>
    <mergeCell ref="O12:O14"/>
    <mergeCell ref="P12:P14"/>
    <mergeCell ref="Q12:Q14"/>
    <mergeCell ref="A4:A5"/>
    <mergeCell ref="C6:C8"/>
    <mergeCell ref="D6:D8"/>
    <mergeCell ref="E6:E8"/>
    <mergeCell ref="A6:A8"/>
    <mergeCell ref="A9:A11"/>
    <mergeCell ref="A12:A14"/>
    <mergeCell ref="A15:A17"/>
    <mergeCell ref="A18:A20"/>
    <mergeCell ref="E9:E11"/>
    <mergeCell ref="C12:C14"/>
    <mergeCell ref="D12:D14"/>
    <mergeCell ref="E12:E14"/>
    <mergeCell ref="C4:C5"/>
    <mergeCell ref="D4:D5"/>
    <mergeCell ref="E4:E5"/>
    <mergeCell ref="C15:C17"/>
    <mergeCell ref="D15:D17"/>
    <mergeCell ref="E15:E17"/>
    <mergeCell ref="D9:D1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5292-F2ED-2649-A85A-F633340CB817}">
  <dimension ref="A1:Q32"/>
  <sheetViews>
    <sheetView topLeftCell="B1" zoomScaleNormal="116" workbookViewId="0">
      <selection activeCell="B1" sqref="B1:N32"/>
    </sheetView>
  </sheetViews>
  <sheetFormatPr baseColWidth="10" defaultRowHeight="16" x14ac:dyDescent="0.2"/>
  <cols>
    <col min="1" max="1" width="13.5" customWidth="1"/>
    <col min="2" max="2" width="12" customWidth="1"/>
    <col min="3" max="3" width="15.1640625" bestFit="1" customWidth="1"/>
    <col min="5" max="5" width="19.83203125" bestFit="1" customWidth="1"/>
    <col min="7" max="7" width="19.83203125" bestFit="1" customWidth="1"/>
    <col min="9" max="9" width="19.83203125" bestFit="1" customWidth="1"/>
    <col min="11" max="11" width="19.83203125" bestFit="1" customWidth="1"/>
    <col min="12" max="12" width="12.5" customWidth="1"/>
    <col min="13" max="13" width="12" customWidth="1"/>
    <col min="14" max="14" width="15" customWidth="1"/>
    <col min="16" max="16" width="11.33203125" customWidth="1"/>
    <col min="17" max="17" width="14.1640625" customWidth="1"/>
  </cols>
  <sheetData>
    <row r="1" spans="1:17" x14ac:dyDescent="0.2">
      <c r="C1" s="31"/>
      <c r="D1" s="126" t="s">
        <v>95</v>
      </c>
      <c r="E1" s="111"/>
      <c r="F1" s="126" t="s">
        <v>97</v>
      </c>
      <c r="G1" s="111"/>
      <c r="H1" s="126" t="s">
        <v>8</v>
      </c>
      <c r="I1" s="111"/>
      <c r="J1" s="126" t="s">
        <v>9</v>
      </c>
      <c r="K1" s="111"/>
      <c r="L1" s="28"/>
      <c r="M1" s="28"/>
      <c r="N1" s="28"/>
      <c r="P1" s="28"/>
      <c r="Q1" s="28"/>
    </row>
    <row r="2" spans="1:17" x14ac:dyDescent="0.2">
      <c r="C2" s="31"/>
      <c r="D2" s="127"/>
      <c r="E2" s="113"/>
      <c r="F2" s="127"/>
      <c r="G2" s="113"/>
      <c r="H2" s="127"/>
      <c r="I2" s="113"/>
      <c r="J2" s="127"/>
      <c r="K2" s="113"/>
      <c r="L2" s="28"/>
      <c r="M2" s="28"/>
      <c r="N2" s="28"/>
      <c r="P2" s="28"/>
      <c r="Q2" s="28"/>
    </row>
    <row r="3" spans="1:17" x14ac:dyDescent="0.2">
      <c r="A3" s="97" t="s">
        <v>50</v>
      </c>
      <c r="B3" s="97" t="s">
        <v>13</v>
      </c>
      <c r="C3" s="97" t="s">
        <v>91</v>
      </c>
      <c r="D3" s="97" t="s">
        <v>11</v>
      </c>
      <c r="E3" s="97" t="s">
        <v>53</v>
      </c>
      <c r="F3" s="97" t="s">
        <v>11</v>
      </c>
      <c r="G3" s="97" t="s">
        <v>53</v>
      </c>
      <c r="H3" s="97" t="s">
        <v>11</v>
      </c>
      <c r="I3" s="97" t="s">
        <v>53</v>
      </c>
      <c r="J3" s="97" t="s">
        <v>11</v>
      </c>
      <c r="K3" s="97" t="s">
        <v>53</v>
      </c>
      <c r="L3" s="97" t="s">
        <v>92</v>
      </c>
      <c r="M3" s="97"/>
      <c r="N3" s="97"/>
    </row>
    <row r="4" spans="1:17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7" x14ac:dyDescent="0.2">
      <c r="A5" s="148" t="s">
        <v>41</v>
      </c>
      <c r="B5" s="119" t="s">
        <v>15</v>
      </c>
      <c r="C5" s="1" t="s">
        <v>16</v>
      </c>
      <c r="D5" s="55">
        <v>0.93</v>
      </c>
      <c r="E5" s="53" t="s">
        <v>57</v>
      </c>
      <c r="F5" s="55">
        <v>0.87</v>
      </c>
      <c r="G5" s="53" t="s">
        <v>57</v>
      </c>
      <c r="H5" s="55">
        <v>0.72</v>
      </c>
      <c r="I5" s="53" t="s">
        <v>57</v>
      </c>
      <c r="J5" s="63" t="s">
        <v>72</v>
      </c>
      <c r="K5" s="52" t="s">
        <v>19</v>
      </c>
      <c r="L5" s="114" t="s">
        <v>1</v>
      </c>
      <c r="M5" s="115"/>
      <c r="N5" s="116"/>
    </row>
    <row r="6" spans="1:17" x14ac:dyDescent="0.2">
      <c r="A6" s="148"/>
      <c r="B6" s="119"/>
      <c r="C6" s="1" t="s">
        <v>17</v>
      </c>
      <c r="D6" s="56">
        <v>0.89</v>
      </c>
      <c r="E6" s="53" t="s">
        <v>58</v>
      </c>
      <c r="F6" s="56">
        <v>0.8</v>
      </c>
      <c r="G6" s="53" t="s">
        <v>58</v>
      </c>
      <c r="H6" s="60" t="s">
        <v>68</v>
      </c>
      <c r="I6" s="53" t="s">
        <v>19</v>
      </c>
      <c r="J6" s="56">
        <v>0.92</v>
      </c>
      <c r="K6" s="53" t="s">
        <v>57</v>
      </c>
      <c r="L6" s="23" t="s">
        <v>29</v>
      </c>
      <c r="M6" s="24" t="s">
        <v>90</v>
      </c>
      <c r="N6" s="30" t="s">
        <v>31</v>
      </c>
    </row>
    <row r="7" spans="1:17" x14ac:dyDescent="0.2">
      <c r="A7" s="148"/>
      <c r="B7" s="119" t="s">
        <v>18</v>
      </c>
      <c r="C7" s="1" t="s">
        <v>16</v>
      </c>
      <c r="D7" s="56">
        <v>0.92</v>
      </c>
      <c r="E7" s="53" t="s">
        <v>57</v>
      </c>
      <c r="F7" s="56">
        <v>0.85</v>
      </c>
      <c r="G7" s="53" t="s">
        <v>57</v>
      </c>
      <c r="H7" s="56">
        <v>0.7</v>
      </c>
      <c r="I7" s="53" t="s">
        <v>57</v>
      </c>
      <c r="J7" s="56">
        <v>0.93</v>
      </c>
      <c r="K7" s="73" t="s">
        <v>58</v>
      </c>
      <c r="L7" s="88">
        <v>11</v>
      </c>
      <c r="M7" s="88">
        <v>5</v>
      </c>
      <c r="N7" s="133">
        <v>0</v>
      </c>
    </row>
    <row r="8" spans="1:17" x14ac:dyDescent="0.2">
      <c r="A8" s="148"/>
      <c r="B8" s="119"/>
      <c r="C8" s="1" t="s">
        <v>17</v>
      </c>
      <c r="D8" s="57" t="s">
        <v>63</v>
      </c>
      <c r="E8" s="54" t="s">
        <v>19</v>
      </c>
      <c r="F8" s="61">
        <v>0.77</v>
      </c>
      <c r="G8" s="68" t="s">
        <v>58</v>
      </c>
      <c r="H8" s="57" t="s">
        <v>69</v>
      </c>
      <c r="I8" s="54" t="s">
        <v>19</v>
      </c>
      <c r="J8" s="57" t="s">
        <v>73</v>
      </c>
      <c r="K8" s="54" t="s">
        <v>19</v>
      </c>
      <c r="L8" s="89"/>
      <c r="M8" s="89"/>
      <c r="N8" s="134"/>
    </row>
    <row r="9" spans="1:17" x14ac:dyDescent="0.2">
      <c r="A9" s="148" t="s">
        <v>44</v>
      </c>
      <c r="B9" s="119" t="s">
        <v>15</v>
      </c>
      <c r="C9" s="1" t="s">
        <v>16</v>
      </c>
      <c r="D9" s="55">
        <v>0.91</v>
      </c>
      <c r="E9" s="53" t="s">
        <v>58</v>
      </c>
      <c r="F9" s="55">
        <v>0.76</v>
      </c>
      <c r="G9" s="53" t="s">
        <v>57</v>
      </c>
      <c r="H9" s="55">
        <v>0.6</v>
      </c>
      <c r="I9" s="73" t="s">
        <v>58</v>
      </c>
      <c r="J9" s="63" t="s">
        <v>74</v>
      </c>
      <c r="K9" s="52" t="s">
        <v>19</v>
      </c>
      <c r="L9" s="114" t="s">
        <v>2</v>
      </c>
      <c r="M9" s="115"/>
      <c r="N9" s="116"/>
    </row>
    <row r="10" spans="1:17" x14ac:dyDescent="0.2">
      <c r="A10" s="148"/>
      <c r="B10" s="119"/>
      <c r="C10" s="1" t="s">
        <v>17</v>
      </c>
      <c r="D10" s="60" t="s">
        <v>63</v>
      </c>
      <c r="E10" s="53" t="s">
        <v>19</v>
      </c>
      <c r="F10" s="60" t="s">
        <v>65</v>
      </c>
      <c r="G10" s="53" t="s">
        <v>19</v>
      </c>
      <c r="H10" s="71">
        <v>0.54</v>
      </c>
      <c r="I10" s="73" t="s">
        <v>58</v>
      </c>
      <c r="J10" s="72" t="s">
        <v>72</v>
      </c>
      <c r="K10" s="53" t="s">
        <v>57</v>
      </c>
      <c r="L10" s="23" t="s">
        <v>29</v>
      </c>
      <c r="M10" s="24" t="s">
        <v>90</v>
      </c>
      <c r="N10" s="30" t="s">
        <v>31</v>
      </c>
    </row>
    <row r="11" spans="1:17" x14ac:dyDescent="0.2">
      <c r="A11" s="148"/>
      <c r="B11" s="119" t="s">
        <v>18</v>
      </c>
      <c r="C11" s="1" t="s">
        <v>16</v>
      </c>
      <c r="D11" s="58" t="s">
        <v>64</v>
      </c>
      <c r="E11" s="53" t="s">
        <v>57</v>
      </c>
      <c r="F11" s="58" t="s">
        <v>66</v>
      </c>
      <c r="G11" s="53" t="s">
        <v>58</v>
      </c>
      <c r="H11" s="60" t="s">
        <v>70</v>
      </c>
      <c r="I11" s="53" t="s">
        <v>19</v>
      </c>
      <c r="J11" s="58" t="s">
        <v>72</v>
      </c>
      <c r="K11" s="53" t="s">
        <v>57</v>
      </c>
      <c r="L11" s="88">
        <v>4</v>
      </c>
      <c r="M11" s="88">
        <v>8</v>
      </c>
      <c r="N11" s="133">
        <v>4</v>
      </c>
    </row>
    <row r="12" spans="1:17" x14ac:dyDescent="0.2">
      <c r="A12" s="148"/>
      <c r="B12" s="119"/>
      <c r="C12" s="1" t="s">
        <v>17</v>
      </c>
      <c r="D12" s="57" t="s">
        <v>59</v>
      </c>
      <c r="E12" s="54" t="s">
        <v>19</v>
      </c>
      <c r="F12" s="57" t="s">
        <v>67</v>
      </c>
      <c r="G12" s="54" t="s">
        <v>19</v>
      </c>
      <c r="H12" s="57" t="s">
        <v>71</v>
      </c>
      <c r="I12" s="54" t="s">
        <v>19</v>
      </c>
      <c r="J12" s="57" t="s">
        <v>75</v>
      </c>
      <c r="K12" s="54" t="s">
        <v>19</v>
      </c>
      <c r="L12" s="89"/>
      <c r="M12" s="89"/>
      <c r="N12" s="134"/>
    </row>
    <row r="13" spans="1:17" x14ac:dyDescent="0.2">
      <c r="A13" s="148" t="s">
        <v>45</v>
      </c>
      <c r="B13" s="119" t="s">
        <v>15</v>
      </c>
      <c r="C13" s="1" t="s">
        <v>16</v>
      </c>
      <c r="D13" s="55">
        <v>0.92</v>
      </c>
      <c r="E13" s="53" t="s">
        <v>57</v>
      </c>
      <c r="F13" s="55">
        <v>0.83</v>
      </c>
      <c r="G13" s="53" t="s">
        <v>58</v>
      </c>
      <c r="H13" s="55">
        <v>0.68</v>
      </c>
      <c r="I13" s="73" t="s">
        <v>58</v>
      </c>
      <c r="J13" s="55">
        <v>0.95</v>
      </c>
      <c r="K13" s="73" t="s">
        <v>58</v>
      </c>
      <c r="L13" s="114" t="s">
        <v>3</v>
      </c>
      <c r="M13" s="115"/>
      <c r="N13" s="116"/>
    </row>
    <row r="14" spans="1:17" x14ac:dyDescent="0.2">
      <c r="A14" s="148"/>
      <c r="B14" s="119"/>
      <c r="C14" s="1" t="s">
        <v>17</v>
      </c>
      <c r="D14" s="56">
        <v>0.89</v>
      </c>
      <c r="E14" s="53" t="s">
        <v>57</v>
      </c>
      <c r="F14" s="60" t="s">
        <v>78</v>
      </c>
      <c r="G14" s="53" t="s">
        <v>19</v>
      </c>
      <c r="H14" s="71">
        <v>0.65</v>
      </c>
      <c r="I14" s="73" t="s">
        <v>58</v>
      </c>
      <c r="J14" s="72" t="s">
        <v>76</v>
      </c>
      <c r="K14" s="73" t="s">
        <v>58</v>
      </c>
      <c r="L14" s="23" t="s">
        <v>29</v>
      </c>
      <c r="M14" s="24" t="s">
        <v>90</v>
      </c>
      <c r="N14" s="30" t="s">
        <v>31</v>
      </c>
    </row>
    <row r="15" spans="1:17" x14ac:dyDescent="0.2">
      <c r="A15" s="148"/>
      <c r="B15" s="119" t="s">
        <v>18</v>
      </c>
      <c r="C15" s="1" t="s">
        <v>16</v>
      </c>
      <c r="D15" s="58" t="s">
        <v>73</v>
      </c>
      <c r="E15" s="53" t="s">
        <v>57</v>
      </c>
      <c r="F15" s="58" t="s">
        <v>79</v>
      </c>
      <c r="G15" s="53" t="s">
        <v>57</v>
      </c>
      <c r="H15" s="60" t="s">
        <v>80</v>
      </c>
      <c r="I15" s="53" t="s">
        <v>19</v>
      </c>
      <c r="J15" s="58" t="s">
        <v>75</v>
      </c>
      <c r="K15" s="73" t="s">
        <v>58</v>
      </c>
      <c r="L15" s="88">
        <v>6</v>
      </c>
      <c r="M15" s="88">
        <v>2</v>
      </c>
      <c r="N15" s="133">
        <v>8</v>
      </c>
    </row>
    <row r="16" spans="1:17" x14ac:dyDescent="0.2">
      <c r="A16" s="148"/>
      <c r="B16" s="119"/>
      <c r="C16" s="1" t="s">
        <v>17</v>
      </c>
      <c r="D16" s="59" t="s">
        <v>56</v>
      </c>
      <c r="E16" s="68" t="s">
        <v>57</v>
      </c>
      <c r="F16" s="59" t="s">
        <v>66</v>
      </c>
      <c r="G16" s="53" t="s">
        <v>57</v>
      </c>
      <c r="H16" s="59" t="s">
        <v>81</v>
      </c>
      <c r="I16" s="70" t="s">
        <v>58</v>
      </c>
      <c r="J16" s="59" t="s">
        <v>77</v>
      </c>
      <c r="K16" s="70" t="s">
        <v>58</v>
      </c>
      <c r="L16" s="89"/>
      <c r="M16" s="89"/>
      <c r="N16" s="134"/>
    </row>
    <row r="17" spans="1:14" x14ac:dyDescent="0.2">
      <c r="A17" s="148" t="s">
        <v>46</v>
      </c>
      <c r="B17" s="119" t="s">
        <v>15</v>
      </c>
      <c r="C17" s="1" t="s">
        <v>16</v>
      </c>
      <c r="D17" s="55">
        <v>0.72</v>
      </c>
      <c r="E17" s="53" t="s">
        <v>57</v>
      </c>
      <c r="F17" s="62" t="s">
        <v>86</v>
      </c>
      <c r="G17" s="69" t="s">
        <v>57</v>
      </c>
      <c r="H17" s="55">
        <v>0.05</v>
      </c>
      <c r="I17" s="53" t="s">
        <v>57</v>
      </c>
      <c r="J17" s="63" t="s">
        <v>82</v>
      </c>
      <c r="K17" s="52" t="s">
        <v>19</v>
      </c>
      <c r="L17" s="114" t="s">
        <v>4</v>
      </c>
      <c r="M17" s="115"/>
      <c r="N17" s="116"/>
    </row>
    <row r="18" spans="1:14" x14ac:dyDescent="0.2">
      <c r="A18" s="148"/>
      <c r="B18" s="119"/>
      <c r="C18" s="1" t="s">
        <v>17</v>
      </c>
      <c r="D18" s="60" t="s">
        <v>89</v>
      </c>
      <c r="E18" s="53" t="s">
        <v>19</v>
      </c>
      <c r="F18" s="58" t="s">
        <v>87</v>
      </c>
      <c r="G18" s="53" t="s">
        <v>57</v>
      </c>
      <c r="H18" s="60" t="s">
        <v>61</v>
      </c>
      <c r="I18" s="53" t="s">
        <v>19</v>
      </c>
      <c r="J18" s="58" t="s">
        <v>83</v>
      </c>
      <c r="K18" s="53" t="s">
        <v>19</v>
      </c>
      <c r="L18" s="23" t="s">
        <v>29</v>
      </c>
      <c r="M18" s="24" t="s">
        <v>90</v>
      </c>
      <c r="N18" s="30" t="s">
        <v>31</v>
      </c>
    </row>
    <row r="19" spans="1:14" x14ac:dyDescent="0.2">
      <c r="A19" s="148"/>
      <c r="B19" s="119" t="s">
        <v>18</v>
      </c>
      <c r="C19" s="1" t="s">
        <v>16</v>
      </c>
      <c r="D19" s="56">
        <v>0.69</v>
      </c>
      <c r="E19" s="53" t="s">
        <v>57</v>
      </c>
      <c r="F19" s="58" t="s">
        <v>88</v>
      </c>
      <c r="G19" s="53" t="s">
        <v>57</v>
      </c>
      <c r="H19" s="60" t="s">
        <v>62</v>
      </c>
      <c r="I19" s="53" t="s">
        <v>19</v>
      </c>
      <c r="J19" s="60" t="s">
        <v>82</v>
      </c>
      <c r="K19" s="53" t="s">
        <v>19</v>
      </c>
      <c r="L19" s="88">
        <v>5</v>
      </c>
      <c r="M19" s="88">
        <v>6</v>
      </c>
      <c r="N19" s="133">
        <v>5</v>
      </c>
    </row>
    <row r="20" spans="1:14" x14ac:dyDescent="0.2">
      <c r="A20" s="148"/>
      <c r="B20" s="119"/>
      <c r="C20" s="1" t="s">
        <v>17</v>
      </c>
      <c r="D20" s="61">
        <v>0.63</v>
      </c>
      <c r="E20" s="53" t="s">
        <v>57</v>
      </c>
      <c r="F20" s="59" t="s">
        <v>86</v>
      </c>
      <c r="G20" s="68" t="s">
        <v>57</v>
      </c>
      <c r="H20" s="61">
        <v>0.02</v>
      </c>
      <c r="I20" s="68" t="s">
        <v>57</v>
      </c>
      <c r="J20" s="57" t="s">
        <v>84</v>
      </c>
      <c r="K20" s="54" t="s">
        <v>19</v>
      </c>
      <c r="L20" s="89"/>
      <c r="M20" s="89"/>
      <c r="N20" s="134"/>
    </row>
    <row r="21" spans="1:14" x14ac:dyDescent="0.2">
      <c r="A21" s="147" t="s">
        <v>47</v>
      </c>
      <c r="B21" s="120" t="s">
        <v>15</v>
      </c>
      <c r="C21" s="5" t="s">
        <v>16</v>
      </c>
      <c r="D21" s="56">
        <v>0.92</v>
      </c>
      <c r="E21" s="69" t="s">
        <v>57</v>
      </c>
      <c r="F21" s="56">
        <v>0.63</v>
      </c>
      <c r="G21" s="53" t="s">
        <v>57</v>
      </c>
      <c r="H21" s="60" t="s">
        <v>60</v>
      </c>
      <c r="I21" s="53" t="s">
        <v>19</v>
      </c>
      <c r="J21" s="56">
        <v>0.99</v>
      </c>
      <c r="K21" s="53" t="s">
        <v>57</v>
      </c>
      <c r="L21" s="114" t="s">
        <v>5</v>
      </c>
      <c r="M21" s="115"/>
      <c r="N21" s="116"/>
    </row>
    <row r="22" spans="1:14" x14ac:dyDescent="0.2">
      <c r="A22" s="148"/>
      <c r="B22" s="119"/>
      <c r="C22" s="1" t="s">
        <v>17</v>
      </c>
      <c r="D22" s="60" t="s">
        <v>59</v>
      </c>
      <c r="E22" s="53" t="s">
        <v>19</v>
      </c>
      <c r="F22" s="56">
        <v>0.49</v>
      </c>
      <c r="G22" s="53" t="s">
        <v>57</v>
      </c>
      <c r="H22" s="56">
        <v>0.35</v>
      </c>
      <c r="I22" s="53" t="s">
        <v>57</v>
      </c>
      <c r="J22" s="60" t="s">
        <v>82</v>
      </c>
      <c r="K22" s="53" t="s">
        <v>19</v>
      </c>
      <c r="L22" s="23" t="s">
        <v>29</v>
      </c>
      <c r="M22" s="24" t="s">
        <v>90</v>
      </c>
      <c r="N22" s="30" t="s">
        <v>31</v>
      </c>
    </row>
    <row r="23" spans="1:14" x14ac:dyDescent="0.2">
      <c r="A23" s="148"/>
      <c r="B23" s="119" t="s">
        <v>18</v>
      </c>
      <c r="C23" s="1" t="s">
        <v>16</v>
      </c>
      <c r="D23" s="56">
        <v>0.88</v>
      </c>
      <c r="E23" s="53" t="s">
        <v>57</v>
      </c>
      <c r="F23" s="56">
        <v>0.6</v>
      </c>
      <c r="G23" s="53" t="s">
        <v>57</v>
      </c>
      <c r="H23" s="56">
        <v>0.33</v>
      </c>
      <c r="I23" s="53" t="s">
        <v>58</v>
      </c>
      <c r="J23" s="56">
        <v>0.99</v>
      </c>
      <c r="K23" s="73" t="s">
        <v>58</v>
      </c>
      <c r="L23" s="88">
        <v>12</v>
      </c>
      <c r="M23" s="88">
        <v>4</v>
      </c>
      <c r="N23" s="133">
        <v>0</v>
      </c>
    </row>
    <row r="24" spans="1:14" x14ac:dyDescent="0.2">
      <c r="A24" s="148"/>
      <c r="B24" s="119"/>
      <c r="C24" s="1" t="s">
        <v>17</v>
      </c>
      <c r="D24" s="57" t="s">
        <v>85</v>
      </c>
      <c r="E24" s="54" t="s">
        <v>19</v>
      </c>
      <c r="F24" s="61">
        <v>0.39</v>
      </c>
      <c r="G24" s="53" t="s">
        <v>57</v>
      </c>
      <c r="H24" s="61">
        <v>0.24</v>
      </c>
      <c r="I24" s="68" t="s">
        <v>57</v>
      </c>
      <c r="J24" s="61">
        <v>0.99</v>
      </c>
      <c r="K24" s="70" t="s">
        <v>58</v>
      </c>
      <c r="L24" s="89"/>
      <c r="M24" s="89"/>
      <c r="N24" s="134"/>
    </row>
    <row r="25" spans="1:14" x14ac:dyDescent="0.2">
      <c r="D25" s="126" t="s">
        <v>96</v>
      </c>
      <c r="E25" s="111"/>
      <c r="F25" s="126" t="s">
        <v>98</v>
      </c>
      <c r="G25" s="111"/>
      <c r="H25" s="126" t="s">
        <v>93</v>
      </c>
      <c r="I25" s="111"/>
      <c r="J25" s="126" t="s">
        <v>94</v>
      </c>
      <c r="K25" s="111"/>
    </row>
    <row r="26" spans="1:14" ht="17" thickBot="1" x14ac:dyDescent="0.25">
      <c r="D26" s="127"/>
      <c r="E26" s="113"/>
      <c r="F26" s="127"/>
      <c r="G26" s="113"/>
      <c r="H26" s="127"/>
      <c r="I26" s="113"/>
      <c r="J26" s="127"/>
      <c r="K26" s="113"/>
    </row>
    <row r="27" spans="1:14" x14ac:dyDescent="0.2">
      <c r="D27" s="84" t="s">
        <v>29</v>
      </c>
      <c r="E27" s="133">
        <v>11</v>
      </c>
      <c r="F27" s="84" t="s">
        <v>29</v>
      </c>
      <c r="G27" s="91">
        <v>10</v>
      </c>
      <c r="H27" s="84" t="s">
        <v>29</v>
      </c>
      <c r="I27" s="91">
        <v>11</v>
      </c>
      <c r="J27" s="84" t="s">
        <v>29</v>
      </c>
      <c r="K27" s="91">
        <v>6</v>
      </c>
      <c r="M27" s="64" t="s">
        <v>54</v>
      </c>
      <c r="N27" s="65" t="s">
        <v>51</v>
      </c>
    </row>
    <row r="28" spans="1:14" ht="17" thickBot="1" x14ac:dyDescent="0.25">
      <c r="D28" s="85"/>
      <c r="E28" s="134"/>
      <c r="F28" s="85"/>
      <c r="G28" s="92"/>
      <c r="H28" s="85"/>
      <c r="I28" s="92"/>
      <c r="J28" s="85"/>
      <c r="K28" s="92"/>
      <c r="M28" s="66" t="s">
        <v>55</v>
      </c>
      <c r="N28" s="67" t="s">
        <v>52</v>
      </c>
    </row>
    <row r="29" spans="1:14" x14ac:dyDescent="0.2">
      <c r="D29" s="93" t="s">
        <v>90</v>
      </c>
      <c r="E29" s="133">
        <v>6</v>
      </c>
      <c r="F29" s="93" t="s">
        <v>90</v>
      </c>
      <c r="G29" s="91">
        <v>3</v>
      </c>
      <c r="H29" s="93" t="s">
        <v>90</v>
      </c>
      <c r="I29" s="133">
        <v>8</v>
      </c>
      <c r="J29" s="93" t="s">
        <v>90</v>
      </c>
      <c r="K29" s="91">
        <v>6</v>
      </c>
    </row>
    <row r="30" spans="1:14" x14ac:dyDescent="0.2">
      <c r="D30" s="94"/>
      <c r="E30" s="137"/>
      <c r="F30" s="94"/>
      <c r="G30" s="92"/>
      <c r="H30" s="94"/>
      <c r="I30" s="134"/>
      <c r="J30" s="94"/>
      <c r="K30" s="92"/>
    </row>
    <row r="31" spans="1:14" x14ac:dyDescent="0.2">
      <c r="D31" s="86" t="s">
        <v>31</v>
      </c>
      <c r="E31" s="91">
        <v>3</v>
      </c>
      <c r="F31" s="86" t="s">
        <v>31</v>
      </c>
      <c r="G31" s="91">
        <v>7</v>
      </c>
      <c r="H31" s="86" t="s">
        <v>31</v>
      </c>
      <c r="I31" s="91">
        <v>1</v>
      </c>
      <c r="J31" s="86" t="s">
        <v>31</v>
      </c>
      <c r="K31" s="91">
        <v>8</v>
      </c>
    </row>
    <row r="32" spans="1:14" x14ac:dyDescent="0.2">
      <c r="D32" s="87"/>
      <c r="E32" s="92"/>
      <c r="F32" s="87"/>
      <c r="G32" s="92"/>
      <c r="H32" s="87"/>
      <c r="I32" s="92"/>
      <c r="J32" s="87"/>
      <c r="K32" s="92"/>
    </row>
  </sheetData>
  <autoFilter ref="A1:N32" xr:uid="{15B95292-F2ED-2649-A85A-F633340CB817}">
    <filterColumn colId="3" showButton="0"/>
    <filterColumn colId="5" showButton="0"/>
    <filterColumn colId="7" showButton="0"/>
    <filterColumn colId="9" showButton="0"/>
  </autoFilter>
  <mergeCells count="79">
    <mergeCell ref="J1:K2"/>
    <mergeCell ref="F3:F4"/>
    <mergeCell ref="G3:G4"/>
    <mergeCell ref="D1:E2"/>
    <mergeCell ref="F1:G2"/>
    <mergeCell ref="H1:I2"/>
    <mergeCell ref="H3:H4"/>
    <mergeCell ref="I3:I4"/>
    <mergeCell ref="J3:J4"/>
    <mergeCell ref="K3:K4"/>
    <mergeCell ref="A3:A4"/>
    <mergeCell ref="B3:B4"/>
    <mergeCell ref="C3:C4"/>
    <mergeCell ref="D3:D4"/>
    <mergeCell ref="E3:E4"/>
    <mergeCell ref="L3:N4"/>
    <mergeCell ref="B7:B8"/>
    <mergeCell ref="L7:L8"/>
    <mergeCell ref="M7:M8"/>
    <mergeCell ref="N7:N8"/>
    <mergeCell ref="N11:N12"/>
    <mergeCell ref="A9:A12"/>
    <mergeCell ref="B9:B10"/>
    <mergeCell ref="L9:N9"/>
    <mergeCell ref="L5:N5"/>
    <mergeCell ref="A5:A8"/>
    <mergeCell ref="B5:B6"/>
    <mergeCell ref="B11:B12"/>
    <mergeCell ref="L11:L12"/>
    <mergeCell ref="M11:M12"/>
    <mergeCell ref="B15:B16"/>
    <mergeCell ref="L15:L16"/>
    <mergeCell ref="M15:M16"/>
    <mergeCell ref="N15:N16"/>
    <mergeCell ref="A13:A16"/>
    <mergeCell ref="B13:B14"/>
    <mergeCell ref="L13:N13"/>
    <mergeCell ref="B19:B20"/>
    <mergeCell ref="L19:L20"/>
    <mergeCell ref="M19:M20"/>
    <mergeCell ref="N19:N20"/>
    <mergeCell ref="A17:A20"/>
    <mergeCell ref="B17:B18"/>
    <mergeCell ref="L17:N17"/>
    <mergeCell ref="B23:B24"/>
    <mergeCell ref="L23:L24"/>
    <mergeCell ref="M23:M24"/>
    <mergeCell ref="N23:N24"/>
    <mergeCell ref="A21:A24"/>
    <mergeCell ref="B21:B22"/>
    <mergeCell ref="L21:N21"/>
    <mergeCell ref="I27:I28"/>
    <mergeCell ref="J27:J28"/>
    <mergeCell ref="K27:K28"/>
    <mergeCell ref="D25:E26"/>
    <mergeCell ref="F25:G26"/>
    <mergeCell ref="H25:I26"/>
    <mergeCell ref="J25:K26"/>
    <mergeCell ref="D27:D28"/>
    <mergeCell ref="E27:E28"/>
    <mergeCell ref="F27:F28"/>
    <mergeCell ref="G27:G28"/>
    <mergeCell ref="H27:H28"/>
    <mergeCell ref="D29:D30"/>
    <mergeCell ref="E29:E30"/>
    <mergeCell ref="F29:F30"/>
    <mergeCell ref="G29:G30"/>
    <mergeCell ref="H29:H30"/>
    <mergeCell ref="D31:D32"/>
    <mergeCell ref="E31:E32"/>
    <mergeCell ref="F31:F32"/>
    <mergeCell ref="G31:G32"/>
    <mergeCell ref="H31:H32"/>
    <mergeCell ref="I31:I32"/>
    <mergeCell ref="J31:J32"/>
    <mergeCell ref="K31:K32"/>
    <mergeCell ref="J29:J30"/>
    <mergeCell ref="K29:K30"/>
    <mergeCell ref="I29:I30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A944-EBBB-A745-BFB3-A7CB29A28E0A}">
  <dimension ref="A1:N32"/>
  <sheetViews>
    <sheetView tabSelected="1" workbookViewId="0">
      <selection activeCell="H63" sqref="H63"/>
    </sheetView>
  </sheetViews>
  <sheetFormatPr baseColWidth="10" defaultRowHeight="16" x14ac:dyDescent="0.2"/>
  <cols>
    <col min="2" max="2" width="10" bestFit="1" customWidth="1"/>
    <col min="3" max="3" width="15.1640625" bestFit="1" customWidth="1"/>
    <col min="5" max="5" width="19.5" bestFit="1" customWidth="1"/>
    <col min="7" max="7" width="19.5" bestFit="1" customWidth="1"/>
    <col min="9" max="9" width="19.5" bestFit="1" customWidth="1"/>
    <col min="11" max="11" width="19.5" bestFit="1" customWidth="1"/>
    <col min="14" max="14" width="13.6640625" bestFit="1" customWidth="1"/>
  </cols>
  <sheetData>
    <row r="1" spans="1:14" x14ac:dyDescent="0.2">
      <c r="C1" s="31"/>
      <c r="D1" s="126" t="s">
        <v>6</v>
      </c>
      <c r="E1" s="111"/>
      <c r="F1" s="126" t="s">
        <v>7</v>
      </c>
      <c r="G1" s="111"/>
      <c r="H1" s="126" t="s">
        <v>8</v>
      </c>
      <c r="I1" s="111"/>
      <c r="J1" s="126" t="s">
        <v>9</v>
      </c>
      <c r="K1" s="111"/>
      <c r="L1" s="28"/>
      <c r="M1" s="28"/>
      <c r="N1" s="28"/>
    </row>
    <row r="2" spans="1:14" x14ac:dyDescent="0.2">
      <c r="C2" s="31"/>
      <c r="D2" s="127"/>
      <c r="E2" s="113"/>
      <c r="F2" s="127"/>
      <c r="G2" s="113"/>
      <c r="H2" s="127"/>
      <c r="I2" s="113"/>
      <c r="J2" s="127"/>
      <c r="K2" s="113"/>
      <c r="L2" s="28"/>
      <c r="M2" s="28"/>
      <c r="N2" s="28"/>
    </row>
    <row r="3" spans="1:14" x14ac:dyDescent="0.2">
      <c r="A3" s="97" t="s">
        <v>50</v>
      </c>
      <c r="B3" s="97" t="s">
        <v>13</v>
      </c>
      <c r="C3" s="97" t="s">
        <v>91</v>
      </c>
      <c r="D3" s="97" t="s">
        <v>11</v>
      </c>
      <c r="E3" s="97" t="s">
        <v>53</v>
      </c>
      <c r="F3" s="97" t="s">
        <v>11</v>
      </c>
      <c r="G3" s="97" t="s">
        <v>53</v>
      </c>
      <c r="H3" s="97" t="s">
        <v>11</v>
      </c>
      <c r="I3" s="97" t="s">
        <v>53</v>
      </c>
      <c r="J3" s="97" t="s">
        <v>11</v>
      </c>
      <c r="K3" s="97" t="s">
        <v>53</v>
      </c>
      <c r="L3" s="97" t="s">
        <v>32</v>
      </c>
      <c r="M3" s="97"/>
      <c r="N3" s="97"/>
    </row>
    <row r="4" spans="1:14" x14ac:dyDescent="0.2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4" x14ac:dyDescent="0.2">
      <c r="A5" s="148" t="s">
        <v>41</v>
      </c>
      <c r="B5" s="119" t="s">
        <v>15</v>
      </c>
      <c r="C5" s="1" t="s">
        <v>16</v>
      </c>
      <c r="D5" s="55">
        <v>0.93</v>
      </c>
      <c r="E5" s="53" t="s">
        <v>57</v>
      </c>
      <c r="F5" s="55">
        <v>0.87</v>
      </c>
      <c r="G5" s="53" t="s">
        <v>57</v>
      </c>
      <c r="H5" s="55">
        <v>0.72</v>
      </c>
      <c r="I5" s="53" t="s">
        <v>57</v>
      </c>
      <c r="J5" s="63" t="s">
        <v>72</v>
      </c>
      <c r="K5" s="52" t="s">
        <v>19</v>
      </c>
      <c r="L5" s="114" t="s">
        <v>1</v>
      </c>
      <c r="M5" s="115"/>
      <c r="N5" s="116"/>
    </row>
    <row r="6" spans="1:14" x14ac:dyDescent="0.2">
      <c r="A6" s="148"/>
      <c r="B6" s="119"/>
      <c r="C6" s="1" t="s">
        <v>17</v>
      </c>
      <c r="D6" s="56">
        <v>0.89</v>
      </c>
      <c r="E6" s="53" t="s">
        <v>58</v>
      </c>
      <c r="F6" s="56">
        <v>0.8</v>
      </c>
      <c r="G6" s="53" t="s">
        <v>58</v>
      </c>
      <c r="H6" s="60" t="s">
        <v>68</v>
      </c>
      <c r="I6" s="53" t="s">
        <v>19</v>
      </c>
      <c r="J6" s="56">
        <v>0.92</v>
      </c>
      <c r="K6" s="53" t="s">
        <v>57</v>
      </c>
      <c r="L6" s="23" t="s">
        <v>29</v>
      </c>
      <c r="M6" s="24" t="s">
        <v>90</v>
      </c>
      <c r="N6" s="30" t="s">
        <v>31</v>
      </c>
    </row>
    <row r="7" spans="1:14" x14ac:dyDescent="0.2">
      <c r="A7" s="148"/>
      <c r="B7" s="119" t="s">
        <v>18</v>
      </c>
      <c r="C7" s="1" t="s">
        <v>16</v>
      </c>
      <c r="D7" s="56">
        <v>0.92</v>
      </c>
      <c r="E7" s="53" t="s">
        <v>57</v>
      </c>
      <c r="F7" s="56">
        <v>0.85</v>
      </c>
      <c r="G7" s="53" t="s">
        <v>57</v>
      </c>
      <c r="H7" s="56">
        <v>0.7</v>
      </c>
      <c r="I7" s="53" t="s">
        <v>57</v>
      </c>
      <c r="J7" s="56">
        <v>0.93</v>
      </c>
      <c r="K7" s="73" t="s">
        <v>58</v>
      </c>
      <c r="L7" s="88">
        <v>11</v>
      </c>
      <c r="M7" s="88">
        <v>5</v>
      </c>
      <c r="N7" s="133">
        <v>0</v>
      </c>
    </row>
    <row r="8" spans="1:14" x14ac:dyDescent="0.2">
      <c r="A8" s="148"/>
      <c r="B8" s="119"/>
      <c r="C8" s="1" t="s">
        <v>17</v>
      </c>
      <c r="D8" s="57" t="s">
        <v>63</v>
      </c>
      <c r="E8" s="54" t="s">
        <v>19</v>
      </c>
      <c r="F8" s="61">
        <v>0.77</v>
      </c>
      <c r="G8" s="68" t="s">
        <v>58</v>
      </c>
      <c r="H8" s="57" t="s">
        <v>69</v>
      </c>
      <c r="I8" s="54" t="s">
        <v>19</v>
      </c>
      <c r="J8" s="57" t="s">
        <v>73</v>
      </c>
      <c r="K8" s="54" t="s">
        <v>19</v>
      </c>
      <c r="L8" s="89"/>
      <c r="M8" s="89"/>
      <c r="N8" s="134"/>
    </row>
    <row r="9" spans="1:14" x14ac:dyDescent="0.2">
      <c r="A9" s="148" t="s">
        <v>44</v>
      </c>
      <c r="B9" s="119" t="s">
        <v>15</v>
      </c>
      <c r="C9" s="1" t="s">
        <v>16</v>
      </c>
      <c r="D9" s="55">
        <v>0.91</v>
      </c>
      <c r="E9" s="53" t="s">
        <v>58</v>
      </c>
      <c r="F9" s="55">
        <v>0.76</v>
      </c>
      <c r="G9" s="53" t="s">
        <v>57</v>
      </c>
      <c r="H9" s="55">
        <v>0.6</v>
      </c>
      <c r="I9" s="73" t="s">
        <v>58</v>
      </c>
      <c r="J9" s="63" t="s">
        <v>74</v>
      </c>
      <c r="K9" s="52" t="s">
        <v>19</v>
      </c>
      <c r="L9" s="114" t="s">
        <v>2</v>
      </c>
      <c r="M9" s="115"/>
      <c r="N9" s="116"/>
    </row>
    <row r="10" spans="1:14" x14ac:dyDescent="0.2">
      <c r="A10" s="148"/>
      <c r="B10" s="119"/>
      <c r="C10" s="1" t="s">
        <v>17</v>
      </c>
      <c r="D10" s="60" t="s">
        <v>63</v>
      </c>
      <c r="E10" s="53" t="s">
        <v>19</v>
      </c>
      <c r="F10" s="60" t="s">
        <v>65</v>
      </c>
      <c r="G10" s="53" t="s">
        <v>19</v>
      </c>
      <c r="H10" s="71">
        <v>0.54</v>
      </c>
      <c r="I10" s="73" t="s">
        <v>58</v>
      </c>
      <c r="J10" s="72" t="s">
        <v>72</v>
      </c>
      <c r="K10" s="53" t="s">
        <v>57</v>
      </c>
      <c r="L10" s="23" t="s">
        <v>29</v>
      </c>
      <c r="M10" s="24" t="s">
        <v>90</v>
      </c>
      <c r="N10" s="30" t="s">
        <v>31</v>
      </c>
    </row>
    <row r="11" spans="1:14" x14ac:dyDescent="0.2">
      <c r="A11" s="148"/>
      <c r="B11" s="119" t="s">
        <v>18</v>
      </c>
      <c r="C11" s="1" t="s">
        <v>16</v>
      </c>
      <c r="D11" s="58" t="s">
        <v>64</v>
      </c>
      <c r="E11" s="53" t="s">
        <v>57</v>
      </c>
      <c r="F11" s="58" t="s">
        <v>66</v>
      </c>
      <c r="G11" s="53" t="s">
        <v>58</v>
      </c>
      <c r="H11" s="60" t="s">
        <v>70</v>
      </c>
      <c r="I11" s="53" t="s">
        <v>19</v>
      </c>
      <c r="J11" s="58" t="s">
        <v>72</v>
      </c>
      <c r="K11" s="53" t="s">
        <v>57</v>
      </c>
      <c r="L11" s="88">
        <v>4</v>
      </c>
      <c r="M11" s="88">
        <v>8</v>
      </c>
      <c r="N11" s="133">
        <v>4</v>
      </c>
    </row>
    <row r="12" spans="1:14" x14ac:dyDescent="0.2">
      <c r="A12" s="148"/>
      <c r="B12" s="119"/>
      <c r="C12" s="1" t="s">
        <v>17</v>
      </c>
      <c r="D12" s="57" t="s">
        <v>59</v>
      </c>
      <c r="E12" s="54" t="s">
        <v>19</v>
      </c>
      <c r="F12" s="57" t="s">
        <v>67</v>
      </c>
      <c r="G12" s="54" t="s">
        <v>19</v>
      </c>
      <c r="H12" s="57" t="s">
        <v>71</v>
      </c>
      <c r="I12" s="54" t="s">
        <v>19</v>
      </c>
      <c r="J12" s="57" t="s">
        <v>75</v>
      </c>
      <c r="K12" s="54" t="s">
        <v>19</v>
      </c>
      <c r="L12" s="89"/>
      <c r="M12" s="89"/>
      <c r="N12" s="134"/>
    </row>
    <row r="13" spans="1:14" x14ac:dyDescent="0.2">
      <c r="A13" s="148" t="s">
        <v>45</v>
      </c>
      <c r="B13" s="119" t="s">
        <v>15</v>
      </c>
      <c r="C13" s="1" t="s">
        <v>16</v>
      </c>
      <c r="D13" s="55">
        <v>0.92</v>
      </c>
      <c r="E13" s="53" t="s">
        <v>57</v>
      </c>
      <c r="F13" s="55">
        <v>0.83</v>
      </c>
      <c r="G13" s="53" t="s">
        <v>58</v>
      </c>
      <c r="H13" s="55">
        <v>0.68</v>
      </c>
      <c r="I13" s="73" t="s">
        <v>58</v>
      </c>
      <c r="J13" s="55">
        <v>0.95</v>
      </c>
      <c r="K13" s="73" t="s">
        <v>58</v>
      </c>
      <c r="L13" s="114" t="s">
        <v>3</v>
      </c>
      <c r="M13" s="115"/>
      <c r="N13" s="116"/>
    </row>
    <row r="14" spans="1:14" x14ac:dyDescent="0.2">
      <c r="A14" s="148"/>
      <c r="B14" s="119"/>
      <c r="C14" s="1" t="s">
        <v>17</v>
      </c>
      <c r="D14" s="56">
        <v>0.89</v>
      </c>
      <c r="E14" s="53" t="s">
        <v>57</v>
      </c>
      <c r="F14" s="60" t="s">
        <v>78</v>
      </c>
      <c r="G14" s="53" t="s">
        <v>19</v>
      </c>
      <c r="H14" s="71">
        <v>0.65</v>
      </c>
      <c r="I14" s="73" t="s">
        <v>58</v>
      </c>
      <c r="J14" s="72" t="s">
        <v>76</v>
      </c>
      <c r="K14" s="73" t="s">
        <v>58</v>
      </c>
      <c r="L14" s="23" t="s">
        <v>29</v>
      </c>
      <c r="M14" s="24" t="s">
        <v>90</v>
      </c>
      <c r="N14" s="30" t="s">
        <v>31</v>
      </c>
    </row>
    <row r="15" spans="1:14" x14ac:dyDescent="0.2">
      <c r="A15" s="148"/>
      <c r="B15" s="119" t="s">
        <v>18</v>
      </c>
      <c r="C15" s="1" t="s">
        <v>16</v>
      </c>
      <c r="D15" s="58" t="s">
        <v>73</v>
      </c>
      <c r="E15" s="53" t="s">
        <v>57</v>
      </c>
      <c r="F15" s="58" t="s">
        <v>79</v>
      </c>
      <c r="G15" s="53" t="s">
        <v>57</v>
      </c>
      <c r="H15" s="60" t="s">
        <v>80</v>
      </c>
      <c r="I15" s="53" t="s">
        <v>19</v>
      </c>
      <c r="J15" s="58" t="s">
        <v>75</v>
      </c>
      <c r="K15" s="73" t="s">
        <v>58</v>
      </c>
      <c r="L15" s="88">
        <v>6</v>
      </c>
      <c r="M15" s="88">
        <v>2</v>
      </c>
      <c r="N15" s="133">
        <v>8</v>
      </c>
    </row>
    <row r="16" spans="1:14" x14ac:dyDescent="0.2">
      <c r="A16" s="148"/>
      <c r="B16" s="119"/>
      <c r="C16" s="1" t="s">
        <v>17</v>
      </c>
      <c r="D16" s="59" t="s">
        <v>56</v>
      </c>
      <c r="E16" s="68" t="s">
        <v>57</v>
      </c>
      <c r="F16" s="59" t="s">
        <v>66</v>
      </c>
      <c r="G16" s="53" t="s">
        <v>57</v>
      </c>
      <c r="H16" s="59" t="s">
        <v>81</v>
      </c>
      <c r="I16" s="70" t="s">
        <v>58</v>
      </c>
      <c r="J16" s="59" t="s">
        <v>77</v>
      </c>
      <c r="K16" s="70" t="s">
        <v>58</v>
      </c>
      <c r="L16" s="89"/>
      <c r="M16" s="89"/>
      <c r="N16" s="134"/>
    </row>
    <row r="17" spans="1:14" x14ac:dyDescent="0.2">
      <c r="A17" s="148" t="s">
        <v>46</v>
      </c>
      <c r="B17" s="119" t="s">
        <v>15</v>
      </c>
      <c r="C17" s="1" t="s">
        <v>16</v>
      </c>
      <c r="D17" s="55">
        <v>0.72</v>
      </c>
      <c r="E17" s="53" t="s">
        <v>57</v>
      </c>
      <c r="F17" s="62" t="s">
        <v>86</v>
      </c>
      <c r="G17" s="69" t="s">
        <v>57</v>
      </c>
      <c r="H17" s="55">
        <v>0.05</v>
      </c>
      <c r="I17" s="53" t="s">
        <v>57</v>
      </c>
      <c r="J17" s="63" t="s">
        <v>82</v>
      </c>
      <c r="K17" s="52" t="s">
        <v>19</v>
      </c>
      <c r="L17" s="114" t="s">
        <v>4</v>
      </c>
      <c r="M17" s="115"/>
      <c r="N17" s="116"/>
    </row>
    <row r="18" spans="1:14" x14ac:dyDescent="0.2">
      <c r="A18" s="148"/>
      <c r="B18" s="119"/>
      <c r="C18" s="1" t="s">
        <v>17</v>
      </c>
      <c r="D18" s="60" t="s">
        <v>89</v>
      </c>
      <c r="E18" s="53" t="s">
        <v>19</v>
      </c>
      <c r="F18" s="58" t="s">
        <v>87</v>
      </c>
      <c r="G18" s="53" t="s">
        <v>57</v>
      </c>
      <c r="H18" s="60" t="s">
        <v>61</v>
      </c>
      <c r="I18" s="53" t="s">
        <v>19</v>
      </c>
      <c r="J18" s="58" t="s">
        <v>83</v>
      </c>
      <c r="K18" s="53" t="s">
        <v>19</v>
      </c>
      <c r="L18" s="23" t="s">
        <v>29</v>
      </c>
      <c r="M18" s="24" t="s">
        <v>90</v>
      </c>
      <c r="N18" s="30" t="s">
        <v>31</v>
      </c>
    </row>
    <row r="19" spans="1:14" x14ac:dyDescent="0.2">
      <c r="A19" s="148"/>
      <c r="B19" s="119" t="s">
        <v>18</v>
      </c>
      <c r="C19" s="1" t="s">
        <v>16</v>
      </c>
      <c r="D19" s="56">
        <v>0.69</v>
      </c>
      <c r="E19" s="53" t="s">
        <v>57</v>
      </c>
      <c r="F19" s="58" t="s">
        <v>88</v>
      </c>
      <c r="G19" s="53" t="s">
        <v>57</v>
      </c>
      <c r="H19" s="60" t="s">
        <v>62</v>
      </c>
      <c r="I19" s="53" t="s">
        <v>19</v>
      </c>
      <c r="J19" s="60" t="s">
        <v>82</v>
      </c>
      <c r="K19" s="53" t="s">
        <v>19</v>
      </c>
      <c r="L19" s="88">
        <v>5</v>
      </c>
      <c r="M19" s="88">
        <v>6</v>
      </c>
      <c r="N19" s="133">
        <v>5</v>
      </c>
    </row>
    <row r="20" spans="1:14" x14ac:dyDescent="0.2">
      <c r="A20" s="148"/>
      <c r="B20" s="119"/>
      <c r="C20" s="1" t="s">
        <v>17</v>
      </c>
      <c r="D20" s="61">
        <v>0.63</v>
      </c>
      <c r="E20" s="53" t="s">
        <v>57</v>
      </c>
      <c r="F20" s="59" t="s">
        <v>86</v>
      </c>
      <c r="G20" s="68" t="s">
        <v>57</v>
      </c>
      <c r="H20" s="61">
        <v>0.02</v>
      </c>
      <c r="I20" s="68" t="s">
        <v>57</v>
      </c>
      <c r="J20" s="57" t="s">
        <v>84</v>
      </c>
      <c r="K20" s="54" t="s">
        <v>19</v>
      </c>
      <c r="L20" s="89"/>
      <c r="M20" s="89"/>
      <c r="N20" s="134"/>
    </row>
    <row r="21" spans="1:14" x14ac:dyDescent="0.2">
      <c r="A21" s="147" t="s">
        <v>47</v>
      </c>
      <c r="B21" s="120" t="s">
        <v>15</v>
      </c>
      <c r="C21" s="5" t="s">
        <v>16</v>
      </c>
      <c r="D21" s="56">
        <v>0.92</v>
      </c>
      <c r="E21" s="69" t="s">
        <v>57</v>
      </c>
      <c r="F21" s="56">
        <v>0.63</v>
      </c>
      <c r="G21" s="53" t="s">
        <v>57</v>
      </c>
      <c r="H21" s="60" t="s">
        <v>60</v>
      </c>
      <c r="I21" s="53" t="s">
        <v>19</v>
      </c>
      <c r="J21" s="56">
        <v>0.99</v>
      </c>
      <c r="K21" s="53" t="s">
        <v>57</v>
      </c>
      <c r="L21" s="114" t="s">
        <v>5</v>
      </c>
      <c r="M21" s="115"/>
      <c r="N21" s="116"/>
    </row>
    <row r="22" spans="1:14" x14ac:dyDescent="0.2">
      <c r="A22" s="148"/>
      <c r="B22" s="119"/>
      <c r="C22" s="1" t="s">
        <v>17</v>
      </c>
      <c r="D22" s="60" t="s">
        <v>59</v>
      </c>
      <c r="E22" s="53" t="s">
        <v>19</v>
      </c>
      <c r="F22" s="56">
        <v>0.49</v>
      </c>
      <c r="G22" s="53" t="s">
        <v>57</v>
      </c>
      <c r="H22" s="56">
        <v>0.35</v>
      </c>
      <c r="I22" s="53" t="s">
        <v>57</v>
      </c>
      <c r="J22" s="60" t="s">
        <v>82</v>
      </c>
      <c r="K22" s="53" t="s">
        <v>19</v>
      </c>
      <c r="L22" s="23" t="s">
        <v>29</v>
      </c>
      <c r="M22" s="24" t="s">
        <v>90</v>
      </c>
      <c r="N22" s="30" t="s">
        <v>31</v>
      </c>
    </row>
    <row r="23" spans="1:14" x14ac:dyDescent="0.2">
      <c r="A23" s="148"/>
      <c r="B23" s="119" t="s">
        <v>18</v>
      </c>
      <c r="C23" s="1" t="s">
        <v>16</v>
      </c>
      <c r="D23" s="56">
        <v>0.88</v>
      </c>
      <c r="E23" s="53" t="s">
        <v>57</v>
      </c>
      <c r="F23" s="56">
        <v>0.6</v>
      </c>
      <c r="G23" s="53" t="s">
        <v>57</v>
      </c>
      <c r="H23" s="56">
        <v>0.33</v>
      </c>
      <c r="I23" s="53" t="s">
        <v>58</v>
      </c>
      <c r="J23" s="56">
        <v>0.99</v>
      </c>
      <c r="K23" s="73" t="s">
        <v>58</v>
      </c>
      <c r="L23" s="88">
        <v>12</v>
      </c>
      <c r="M23" s="88">
        <v>4</v>
      </c>
      <c r="N23" s="133">
        <v>0</v>
      </c>
    </row>
    <row r="24" spans="1:14" x14ac:dyDescent="0.2">
      <c r="A24" s="148"/>
      <c r="B24" s="119"/>
      <c r="C24" s="1" t="s">
        <v>17</v>
      </c>
      <c r="D24" s="57" t="s">
        <v>85</v>
      </c>
      <c r="E24" s="54" t="s">
        <v>19</v>
      </c>
      <c r="F24" s="61">
        <v>0.39</v>
      </c>
      <c r="G24" s="53" t="s">
        <v>57</v>
      </c>
      <c r="H24" s="61">
        <v>0.24</v>
      </c>
      <c r="I24" s="68" t="s">
        <v>57</v>
      </c>
      <c r="J24" s="61">
        <v>0.99</v>
      </c>
      <c r="K24" s="70" t="s">
        <v>58</v>
      </c>
      <c r="L24" s="89"/>
      <c r="M24" s="89"/>
      <c r="N24" s="134"/>
    </row>
    <row r="25" spans="1:14" x14ac:dyDescent="0.2">
      <c r="D25" s="126" t="s">
        <v>25</v>
      </c>
      <c r="E25" s="111"/>
      <c r="F25" s="126" t="s">
        <v>26</v>
      </c>
      <c r="G25" s="111"/>
      <c r="H25" s="126" t="s">
        <v>27</v>
      </c>
      <c r="I25" s="111"/>
      <c r="J25" s="126" t="s">
        <v>28</v>
      </c>
      <c r="K25" s="111"/>
    </row>
    <row r="26" spans="1:14" ht="17" thickBot="1" x14ac:dyDescent="0.25">
      <c r="D26" s="127"/>
      <c r="E26" s="113"/>
      <c r="F26" s="127"/>
      <c r="G26" s="113"/>
      <c r="H26" s="127"/>
      <c r="I26" s="113"/>
      <c r="J26" s="127"/>
      <c r="K26" s="113"/>
    </row>
    <row r="27" spans="1:14" x14ac:dyDescent="0.2">
      <c r="D27" s="84" t="s">
        <v>29</v>
      </c>
      <c r="E27" s="133">
        <v>11</v>
      </c>
      <c r="F27" s="84" t="s">
        <v>29</v>
      </c>
      <c r="G27" s="91">
        <v>10</v>
      </c>
      <c r="H27" s="84" t="s">
        <v>29</v>
      </c>
      <c r="I27" s="91">
        <v>11</v>
      </c>
      <c r="J27" s="84" t="s">
        <v>29</v>
      </c>
      <c r="K27" s="91">
        <v>6</v>
      </c>
      <c r="M27" s="64" t="s">
        <v>54</v>
      </c>
      <c r="N27" s="65" t="s">
        <v>51</v>
      </c>
    </row>
    <row r="28" spans="1:14" ht="17" thickBot="1" x14ac:dyDescent="0.25">
      <c r="D28" s="85"/>
      <c r="E28" s="134"/>
      <c r="F28" s="85"/>
      <c r="G28" s="92"/>
      <c r="H28" s="85"/>
      <c r="I28" s="92"/>
      <c r="J28" s="85"/>
      <c r="K28" s="92"/>
      <c r="M28" s="66" t="s">
        <v>55</v>
      </c>
      <c r="N28" s="67" t="s">
        <v>52</v>
      </c>
    </row>
    <row r="29" spans="1:14" x14ac:dyDescent="0.2">
      <c r="D29" s="93" t="s">
        <v>90</v>
      </c>
      <c r="E29" s="133">
        <v>6</v>
      </c>
      <c r="F29" s="93" t="s">
        <v>90</v>
      </c>
      <c r="G29" s="91">
        <v>3</v>
      </c>
      <c r="H29" s="93" t="s">
        <v>90</v>
      </c>
      <c r="I29" s="133">
        <v>8</v>
      </c>
      <c r="J29" s="93" t="s">
        <v>90</v>
      </c>
      <c r="K29" s="91">
        <v>6</v>
      </c>
    </row>
    <row r="30" spans="1:14" x14ac:dyDescent="0.2">
      <c r="D30" s="94"/>
      <c r="E30" s="137"/>
      <c r="F30" s="94"/>
      <c r="G30" s="92"/>
      <c r="H30" s="94"/>
      <c r="I30" s="134"/>
      <c r="J30" s="94"/>
      <c r="K30" s="92"/>
    </row>
    <row r="31" spans="1:14" x14ac:dyDescent="0.2">
      <c r="D31" s="86" t="s">
        <v>31</v>
      </c>
      <c r="E31" s="91">
        <v>3</v>
      </c>
      <c r="F31" s="86" t="s">
        <v>31</v>
      </c>
      <c r="G31" s="91">
        <v>7</v>
      </c>
      <c r="H31" s="86" t="s">
        <v>31</v>
      </c>
      <c r="I31" s="91">
        <v>1</v>
      </c>
      <c r="J31" s="86" t="s">
        <v>31</v>
      </c>
      <c r="K31" s="91">
        <v>8</v>
      </c>
    </row>
    <row r="32" spans="1:14" x14ac:dyDescent="0.2">
      <c r="D32" s="87"/>
      <c r="E32" s="92"/>
      <c r="F32" s="87"/>
      <c r="G32" s="92"/>
      <c r="H32" s="87"/>
      <c r="I32" s="92"/>
      <c r="J32" s="87"/>
      <c r="K32" s="92"/>
    </row>
  </sheetData>
  <mergeCells count="79">
    <mergeCell ref="A3:A4"/>
    <mergeCell ref="B3:B4"/>
    <mergeCell ref="C3:C4"/>
    <mergeCell ref="D3:D4"/>
    <mergeCell ref="E3:E4"/>
    <mergeCell ref="L3:N4"/>
    <mergeCell ref="D1:E2"/>
    <mergeCell ref="F1:G2"/>
    <mergeCell ref="H1:I2"/>
    <mergeCell ref="J1:K2"/>
    <mergeCell ref="F3:F4"/>
    <mergeCell ref="G3:G4"/>
    <mergeCell ref="H3:H4"/>
    <mergeCell ref="I3:I4"/>
    <mergeCell ref="J3:J4"/>
    <mergeCell ref="K3:K4"/>
    <mergeCell ref="A5:A8"/>
    <mergeCell ref="B5:B6"/>
    <mergeCell ref="L5:N5"/>
    <mergeCell ref="B7:B8"/>
    <mergeCell ref="L7:L8"/>
    <mergeCell ref="M7:M8"/>
    <mergeCell ref="N7:N8"/>
    <mergeCell ref="A9:A12"/>
    <mergeCell ref="B9:B10"/>
    <mergeCell ref="L9:N9"/>
    <mergeCell ref="B11:B12"/>
    <mergeCell ref="L11:L12"/>
    <mergeCell ref="M11:M12"/>
    <mergeCell ref="N11:N12"/>
    <mergeCell ref="A13:A16"/>
    <mergeCell ref="B13:B14"/>
    <mergeCell ref="L13:N13"/>
    <mergeCell ref="B15:B16"/>
    <mergeCell ref="L15:L16"/>
    <mergeCell ref="M15:M16"/>
    <mergeCell ref="N15:N16"/>
    <mergeCell ref="A17:A20"/>
    <mergeCell ref="B17:B18"/>
    <mergeCell ref="L17:N17"/>
    <mergeCell ref="B19:B20"/>
    <mergeCell ref="L19:L20"/>
    <mergeCell ref="M19:M20"/>
    <mergeCell ref="N19:N20"/>
    <mergeCell ref="A21:A24"/>
    <mergeCell ref="B21:B22"/>
    <mergeCell ref="L21:N21"/>
    <mergeCell ref="B23:B24"/>
    <mergeCell ref="L23:L24"/>
    <mergeCell ref="M23:M24"/>
    <mergeCell ref="N23:N24"/>
    <mergeCell ref="D25:E26"/>
    <mergeCell ref="F25:G26"/>
    <mergeCell ref="H25:I26"/>
    <mergeCell ref="J25:K26"/>
    <mergeCell ref="D27:D28"/>
    <mergeCell ref="E27:E28"/>
    <mergeCell ref="F27:F28"/>
    <mergeCell ref="G27:G28"/>
    <mergeCell ref="H27:H28"/>
    <mergeCell ref="I27:I28"/>
    <mergeCell ref="J27:J28"/>
    <mergeCell ref="K27:K28"/>
    <mergeCell ref="D29:D30"/>
    <mergeCell ref="E29:E30"/>
    <mergeCell ref="F29:F30"/>
    <mergeCell ref="G29:G30"/>
    <mergeCell ref="H29:H30"/>
    <mergeCell ref="I29:I30"/>
    <mergeCell ref="J29:J30"/>
    <mergeCell ref="K29:K30"/>
    <mergeCell ref="J31:J32"/>
    <mergeCell ref="K31:K32"/>
    <mergeCell ref="D31:D32"/>
    <mergeCell ref="E31:E32"/>
    <mergeCell ref="F31:F32"/>
    <mergeCell ref="G31:G32"/>
    <mergeCell ref="H31:H32"/>
    <mergeCell ref="I31:I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Comp-Full-a</vt:lpstr>
      <vt:lpstr>Sheet6</vt:lpstr>
      <vt:lpstr>Comp-Full-b</vt:lpstr>
      <vt:lpstr>Sheet1</vt:lpstr>
      <vt:lpstr>SummaryTable</vt:lpstr>
      <vt:lpstr>NN-Cntxt</vt:lpstr>
      <vt:lpstr>Comp-Trimmed</vt:lpstr>
      <vt:lpstr>Comp-Trimmed-Annotated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Clarke</dc:creator>
  <cp:lastModifiedBy>Paul Clarke</cp:lastModifiedBy>
  <dcterms:created xsi:type="dcterms:W3CDTF">2025-06-25T14:06:07Z</dcterms:created>
  <dcterms:modified xsi:type="dcterms:W3CDTF">2025-12-08T12:03:12Z</dcterms:modified>
</cp:coreProperties>
</file>